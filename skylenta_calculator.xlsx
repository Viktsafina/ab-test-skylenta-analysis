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Sky Pro\Диплом\"/>
    </mc:Choice>
  </mc:AlternateContent>
  <xr:revisionPtr revIDLastSave="0" documentId="13_ncr:1_{6DE5AB1D-1781-4755-85D3-2CA715DAB91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ll_data" sheetId="1" r:id="rId1"/>
    <sheet name="positive" sheetId="2" r:id="rId2"/>
    <sheet name="negative" sheetId="3" r:id="rId3"/>
    <sheet name="neutral" sheetId="4" r:id="rId4"/>
    <sheet name="Итог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4" l="1"/>
  <c r="O33" i="4" s="1"/>
  <c r="B8" i="5" s="1"/>
  <c r="O2" i="4"/>
  <c r="O2" i="3"/>
  <c r="O5" i="3" s="1"/>
  <c r="B6" i="5" s="1"/>
  <c r="B7" i="5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4" i="4"/>
  <c r="O25" i="4"/>
  <c r="O26" i="4"/>
  <c r="O27" i="4"/>
  <c r="O28" i="4"/>
  <c r="O29" i="4"/>
  <c r="O30" i="4"/>
  <c r="O31" i="4"/>
  <c r="O32" i="4"/>
  <c r="O3" i="3"/>
  <c r="O4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" i="2"/>
  <c r="O19" i="2" s="1"/>
  <c r="B5" i="5" s="1"/>
</calcChain>
</file>

<file path=xl/sharedStrings.xml><?xml version="1.0" encoding="utf-8"?>
<sst xmlns="http://schemas.openxmlformats.org/spreadsheetml/2006/main" count="272" uniqueCount="43">
  <si>
    <t>city</t>
  </si>
  <si>
    <t>id_trading_point</t>
  </si>
  <si>
    <t>avg_payment_control</t>
  </si>
  <si>
    <t>avg_payment_test</t>
  </si>
  <si>
    <t>count_control</t>
  </si>
  <si>
    <t>count_test</t>
  </si>
  <si>
    <t>sigma_control</t>
  </si>
  <si>
    <t>sigma_test</t>
  </si>
  <si>
    <t>count_all</t>
  </si>
  <si>
    <t>percent_count</t>
  </si>
  <si>
    <t>diff</t>
  </si>
  <si>
    <t>ttest</t>
  </si>
  <si>
    <t>pvalue_ttest</t>
  </si>
  <si>
    <t>labels</t>
  </si>
  <si>
    <t>Владимир</t>
  </si>
  <si>
    <t>positive</t>
  </si>
  <si>
    <t>Волгоград</t>
  </si>
  <si>
    <t>negative</t>
  </si>
  <si>
    <t>Дмитров</t>
  </si>
  <si>
    <t>neutral</t>
  </si>
  <si>
    <t>Казань</t>
  </si>
  <si>
    <t>Краснодар</t>
  </si>
  <si>
    <t>Красноярск</t>
  </si>
  <si>
    <t>Москва</t>
  </si>
  <si>
    <t>Мурманск</t>
  </si>
  <si>
    <t>Самара</t>
  </si>
  <si>
    <t>Санкт-Петербург</t>
  </si>
  <si>
    <t>Саратов</t>
  </si>
  <si>
    <t>Сахалинск</t>
  </si>
  <si>
    <t>Сочи</t>
  </si>
  <si>
    <t>Тольятти</t>
  </si>
  <si>
    <t>Тюмень</t>
  </si>
  <si>
    <t xml:space="preserve">Вводные данные </t>
  </si>
  <si>
    <t>N</t>
  </si>
  <si>
    <t>MDE</t>
  </si>
  <si>
    <t xml:space="preserve">Итоговые результаты </t>
  </si>
  <si>
    <t>Положительный исход</t>
  </si>
  <si>
    <t>Отрицательный исход</t>
  </si>
  <si>
    <t>Баланс</t>
  </si>
  <si>
    <t>Количество наблюдений</t>
  </si>
  <si>
    <t>revenue_effect</t>
  </si>
  <si>
    <t>neede_n</t>
  </si>
  <si>
    <t>Необходимое количество наблюдений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</si>
</sst>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44" fontId="0" fillId="0" borderId="1" xfId="1" applyFont="1" applyBorder="1"/>
    <xf numFmtId="44" fontId="0" fillId="0" borderId="1" xfId="0" applyNumberFormat="1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/>
    <xf numFmtId="1" fontId="3" fillId="0" borderId="0" xfId="0" applyNumberFormat="1" applyFont="1"/>
    <xf numFmtId="2" fontId="0" fillId="0" borderId="1" xfId="1" applyNumberFormat="1" applyFont="1" applyBorder="1"/>
    <xf numFmtId="0" fontId="3" fillId="0" borderId="0" xfId="0" applyFont="1" applyAlignment="1">
      <alignment horizontal="right"/>
    </xf>
    <xf numFmtId="44" fontId="3" fillId="0" borderId="0" xfId="1" applyFont="1"/>
    <xf numFmtId="1" fontId="0" fillId="0" borderId="1" xfId="0" applyNumberForma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workbookViewId="0"/>
  </sheetViews>
  <sheetFormatPr defaultRowHeight="14.4" x14ac:dyDescent="0.3"/>
  <cols>
    <col min="1" max="1" width="15.33203125" bestFit="1" customWidth="1"/>
    <col min="2" max="2" width="15.109375" bestFit="1" customWidth="1"/>
    <col min="3" max="3" width="19.77734375" bestFit="1" customWidth="1"/>
    <col min="4" max="4" width="16.77734375" bestFit="1" customWidth="1"/>
    <col min="5" max="5" width="12.88671875" bestFit="1" customWidth="1"/>
    <col min="6" max="6" width="10" bestFit="1" customWidth="1"/>
    <col min="7" max="7" width="12.88671875" bestFit="1" customWidth="1"/>
    <col min="8" max="8" width="12" bestFit="1" customWidth="1"/>
    <col min="9" max="9" width="8.77734375" bestFit="1" customWidth="1"/>
    <col min="10" max="10" width="13.44140625" bestFit="1" customWidth="1"/>
    <col min="11" max="12" width="12.6640625" bestFit="1" customWidth="1"/>
    <col min="13" max="13" width="12" bestFit="1" customWidth="1"/>
    <col min="14" max="14" width="7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11</v>
      </c>
      <c r="C2">
        <v>2108.6101973684208</v>
      </c>
      <c r="D2">
        <v>2547.2200392927311</v>
      </c>
      <c r="E2">
        <v>608</v>
      </c>
      <c r="F2">
        <v>509</v>
      </c>
      <c r="G2">
        <v>2663.0383919741248</v>
      </c>
      <c r="H2">
        <v>3023.7021636269092</v>
      </c>
      <c r="I2">
        <v>1117</v>
      </c>
      <c r="J2">
        <v>2.4648042720331879E-2</v>
      </c>
      <c r="K2">
        <v>438.60984192430942</v>
      </c>
      <c r="L2">
        <v>2.576955493292318</v>
      </c>
      <c r="M2">
        <v>1.009511217035171E-2</v>
      </c>
      <c r="N2" t="s">
        <v>15</v>
      </c>
    </row>
    <row r="3" spans="1:14" x14ac:dyDescent="0.3">
      <c r="A3" t="s">
        <v>16</v>
      </c>
      <c r="B3">
        <v>66</v>
      </c>
      <c r="C3">
        <v>2601.7610241820771</v>
      </c>
      <c r="D3">
        <v>2288.8706240487058</v>
      </c>
      <c r="E3">
        <v>703</v>
      </c>
      <c r="F3">
        <v>657</v>
      </c>
      <c r="G3">
        <v>2830.1937733415111</v>
      </c>
      <c r="H3">
        <v>2682.567610473357</v>
      </c>
      <c r="I3">
        <v>1360</v>
      </c>
      <c r="J3">
        <v>3.00101504920782E-2</v>
      </c>
      <c r="K3">
        <v>-312.89040013337029</v>
      </c>
      <c r="L3">
        <v>-2.0892718943323438</v>
      </c>
      <c r="M3">
        <v>3.6868999280986539E-2</v>
      </c>
      <c r="N3" t="s">
        <v>17</v>
      </c>
    </row>
    <row r="4" spans="1:14" x14ac:dyDescent="0.3">
      <c r="A4" t="s">
        <v>18</v>
      </c>
      <c r="B4">
        <v>2</v>
      </c>
      <c r="C4">
        <v>483.45070422535213</v>
      </c>
      <c r="D4">
        <v>579.33333333333337</v>
      </c>
      <c r="E4">
        <v>71</v>
      </c>
      <c r="F4">
        <v>78</v>
      </c>
      <c r="G4">
        <v>1654.9231815467831</v>
      </c>
      <c r="H4">
        <v>1860.762430432972</v>
      </c>
      <c r="I4">
        <v>149</v>
      </c>
      <c r="J4">
        <v>3.2878767818526849E-3</v>
      </c>
      <c r="K4">
        <v>95.882629107981245</v>
      </c>
      <c r="L4">
        <v>0.33105243476452068</v>
      </c>
      <c r="M4">
        <v>0.7410763125801646</v>
      </c>
      <c r="N4" t="s">
        <v>19</v>
      </c>
    </row>
    <row r="5" spans="1:14" x14ac:dyDescent="0.3">
      <c r="A5" t="s">
        <v>20</v>
      </c>
      <c r="B5">
        <v>439</v>
      </c>
      <c r="C5">
        <v>2400.635327635327</v>
      </c>
      <c r="D5">
        <v>2481.9605633802821</v>
      </c>
      <c r="E5">
        <v>351</v>
      </c>
      <c r="F5">
        <v>355</v>
      </c>
      <c r="G5">
        <v>3722.11707243604</v>
      </c>
      <c r="H5">
        <v>4040.441006810247</v>
      </c>
      <c r="I5">
        <v>706</v>
      </c>
      <c r="J5">
        <v>1.5578798711328831E-2</v>
      </c>
      <c r="K5">
        <v>81.325235744954171</v>
      </c>
      <c r="L5">
        <v>0.27806735037805058</v>
      </c>
      <c r="M5">
        <v>0.78104230354142801</v>
      </c>
      <c r="N5" t="s">
        <v>19</v>
      </c>
    </row>
    <row r="6" spans="1:14" x14ac:dyDescent="0.3">
      <c r="A6" t="s">
        <v>20</v>
      </c>
      <c r="B6">
        <v>477</v>
      </c>
      <c r="C6">
        <v>2496.987046632124</v>
      </c>
      <c r="D6">
        <v>2259.623036649215</v>
      </c>
      <c r="E6">
        <v>386</v>
      </c>
      <c r="F6">
        <v>382</v>
      </c>
      <c r="G6">
        <v>3881.994718522551</v>
      </c>
      <c r="H6">
        <v>3482.8460937348018</v>
      </c>
      <c r="I6">
        <v>768</v>
      </c>
      <c r="J6">
        <v>1.694690851317357E-2</v>
      </c>
      <c r="K6">
        <v>-237.36400998290989</v>
      </c>
      <c r="L6">
        <v>-0.89159336291986235</v>
      </c>
      <c r="M6">
        <v>0.37289090359186572</v>
      </c>
      <c r="N6" t="s">
        <v>19</v>
      </c>
    </row>
    <row r="7" spans="1:14" x14ac:dyDescent="0.3">
      <c r="A7" t="s">
        <v>20</v>
      </c>
      <c r="B7">
        <v>516</v>
      </c>
      <c r="C7">
        <v>2880.48427672956</v>
      </c>
      <c r="D7">
        <v>3245.2003154574131</v>
      </c>
      <c r="E7">
        <v>636</v>
      </c>
      <c r="F7">
        <v>634</v>
      </c>
      <c r="G7">
        <v>3819.2928134705749</v>
      </c>
      <c r="H7">
        <v>4543.1692617437193</v>
      </c>
      <c r="I7">
        <v>1270</v>
      </c>
      <c r="J7">
        <v>2.8024184650690679E-2</v>
      </c>
      <c r="K7">
        <v>364.71603872785317</v>
      </c>
      <c r="L7">
        <v>1.5486734367114749</v>
      </c>
      <c r="M7">
        <v>0.12170977776688099</v>
      </c>
      <c r="N7" t="s">
        <v>19</v>
      </c>
    </row>
    <row r="8" spans="1:14" x14ac:dyDescent="0.3">
      <c r="A8" t="s">
        <v>20</v>
      </c>
      <c r="B8">
        <v>544</v>
      </c>
      <c r="C8">
        <v>2635.5480769230771</v>
      </c>
      <c r="D8">
        <v>2621.4270557029181</v>
      </c>
      <c r="E8">
        <v>416</v>
      </c>
      <c r="F8">
        <v>377</v>
      </c>
      <c r="G8">
        <v>4639.820746183972</v>
      </c>
      <c r="H8">
        <v>3714.8947510376838</v>
      </c>
      <c r="I8">
        <v>793</v>
      </c>
      <c r="J8">
        <v>1.749856569133678E-2</v>
      </c>
      <c r="K8">
        <v>-14.12102122015949</v>
      </c>
      <c r="L8">
        <v>-4.6997059757738199E-2</v>
      </c>
      <c r="M8">
        <v>0.96252743362660054</v>
      </c>
      <c r="N8" t="s">
        <v>19</v>
      </c>
    </row>
    <row r="9" spans="1:14" x14ac:dyDescent="0.3">
      <c r="A9" t="s">
        <v>20</v>
      </c>
      <c r="B9">
        <v>699</v>
      </c>
      <c r="C9">
        <v>2574.3522267206481</v>
      </c>
      <c r="D9">
        <v>2422.286307053942</v>
      </c>
      <c r="E9">
        <v>494</v>
      </c>
      <c r="F9">
        <v>482</v>
      </c>
      <c r="G9">
        <v>4082.851355871665</v>
      </c>
      <c r="H9">
        <v>3906.8178974938178</v>
      </c>
      <c r="I9">
        <v>976</v>
      </c>
      <c r="J9">
        <v>2.1536696235491419E-2</v>
      </c>
      <c r="K9">
        <v>-152.0659196667057</v>
      </c>
      <c r="L9">
        <v>-0.59425382588472897</v>
      </c>
      <c r="M9">
        <v>0.55248035588145283</v>
      </c>
      <c r="N9" t="s">
        <v>19</v>
      </c>
    </row>
    <row r="10" spans="1:14" x14ac:dyDescent="0.3">
      <c r="A10" t="s">
        <v>20</v>
      </c>
      <c r="B10">
        <v>991</v>
      </c>
      <c r="C10">
        <v>2452.9863945578231</v>
      </c>
      <c r="D10">
        <v>3249.281481481481</v>
      </c>
      <c r="E10">
        <v>294</v>
      </c>
      <c r="F10">
        <v>270</v>
      </c>
      <c r="G10">
        <v>3633.9358583139378</v>
      </c>
      <c r="H10">
        <v>4719.592601269801</v>
      </c>
      <c r="I10">
        <v>564</v>
      </c>
      <c r="J10">
        <v>1.244538593936184E-2</v>
      </c>
      <c r="K10">
        <v>796.29508692365835</v>
      </c>
      <c r="L10">
        <v>2.2552583978062271</v>
      </c>
      <c r="M10">
        <v>2.4501004890271769E-2</v>
      </c>
      <c r="N10" t="s">
        <v>15</v>
      </c>
    </row>
    <row r="11" spans="1:14" x14ac:dyDescent="0.3">
      <c r="A11" t="s">
        <v>21</v>
      </c>
      <c r="B11">
        <v>1101</v>
      </c>
      <c r="C11">
        <v>2523.5788262370538</v>
      </c>
      <c r="D11">
        <v>2176.0038216560511</v>
      </c>
      <c r="E11">
        <v>869</v>
      </c>
      <c r="F11">
        <v>785</v>
      </c>
      <c r="G11">
        <v>2960.352337638426</v>
      </c>
      <c r="H11">
        <v>2722.6244937401748</v>
      </c>
      <c r="I11">
        <v>1654</v>
      </c>
      <c r="J11">
        <v>3.649763890727746E-2</v>
      </c>
      <c r="K11">
        <v>-347.57500458100321</v>
      </c>
      <c r="L11">
        <v>-2.476736308530425</v>
      </c>
      <c r="M11">
        <v>1.33584476189182E-2</v>
      </c>
      <c r="N11" t="s">
        <v>17</v>
      </c>
    </row>
    <row r="12" spans="1:14" x14ac:dyDescent="0.3">
      <c r="A12" t="s">
        <v>21</v>
      </c>
      <c r="B12">
        <v>1989</v>
      </c>
      <c r="C12">
        <v>4163.9592592592589</v>
      </c>
      <c r="D12">
        <v>4407.3849372384939</v>
      </c>
      <c r="E12">
        <v>270</v>
      </c>
      <c r="F12">
        <v>239</v>
      </c>
      <c r="G12">
        <v>2492.0962933115161</v>
      </c>
      <c r="H12">
        <v>2737.9007251199769</v>
      </c>
      <c r="I12">
        <v>509</v>
      </c>
      <c r="J12">
        <v>1.1231740147402801E-2</v>
      </c>
      <c r="K12">
        <v>243.42567797923491</v>
      </c>
      <c r="L12">
        <v>1.0499935308392909</v>
      </c>
      <c r="M12">
        <v>0.29422131648059052</v>
      </c>
      <c r="N12" t="s">
        <v>19</v>
      </c>
    </row>
    <row r="13" spans="1:14" x14ac:dyDescent="0.3">
      <c r="A13" t="s">
        <v>22</v>
      </c>
      <c r="B13">
        <v>202</v>
      </c>
      <c r="C13">
        <v>2730.378761061947</v>
      </c>
      <c r="D13">
        <v>2927.341197822142</v>
      </c>
      <c r="E13">
        <v>565</v>
      </c>
      <c r="F13">
        <v>551</v>
      </c>
      <c r="G13">
        <v>2737.8857851630241</v>
      </c>
      <c r="H13">
        <v>2956.6862414948778</v>
      </c>
      <c r="I13">
        <v>1116</v>
      </c>
      <c r="J13">
        <v>2.4625976433205351E-2</v>
      </c>
      <c r="K13">
        <v>196.96243676019461</v>
      </c>
      <c r="L13">
        <v>1.155072918440385</v>
      </c>
      <c r="M13">
        <v>0.24830826390447139</v>
      </c>
      <c r="N13" t="s">
        <v>19</v>
      </c>
    </row>
    <row r="14" spans="1:14" x14ac:dyDescent="0.3">
      <c r="A14" t="s">
        <v>22</v>
      </c>
      <c r="B14">
        <v>212</v>
      </c>
      <c r="C14">
        <v>2222.052173913044</v>
      </c>
      <c r="D14">
        <v>2144.317032040472</v>
      </c>
      <c r="E14">
        <v>575</v>
      </c>
      <c r="F14">
        <v>593</v>
      </c>
      <c r="G14">
        <v>2785.1162501572289</v>
      </c>
      <c r="H14">
        <v>2708.58872398012</v>
      </c>
      <c r="I14">
        <v>1168</v>
      </c>
      <c r="J14">
        <v>2.5773423363784811E-2</v>
      </c>
      <c r="K14">
        <v>-77.735141872571603</v>
      </c>
      <c r="L14">
        <v>-0.48358538550993968</v>
      </c>
      <c r="M14">
        <v>0.62877094764054164</v>
      </c>
      <c r="N14" t="s">
        <v>19</v>
      </c>
    </row>
    <row r="15" spans="1:14" x14ac:dyDescent="0.3">
      <c r="A15" t="s">
        <v>22</v>
      </c>
      <c r="B15">
        <v>277</v>
      </c>
      <c r="C15">
        <v>2431.3653032440061</v>
      </c>
      <c r="D15">
        <v>2285.75</v>
      </c>
      <c r="E15">
        <v>709</v>
      </c>
      <c r="F15">
        <v>708</v>
      </c>
      <c r="G15">
        <v>2868.587568641391</v>
      </c>
      <c r="H15">
        <v>2712.6778782628048</v>
      </c>
      <c r="I15">
        <v>1417</v>
      </c>
      <c r="J15">
        <v>3.1267928858290307E-2</v>
      </c>
      <c r="K15">
        <v>-145.61530324400559</v>
      </c>
      <c r="L15">
        <v>-0.98170546685316118</v>
      </c>
      <c r="M15">
        <v>0.32641278977933119</v>
      </c>
      <c r="N15" t="s">
        <v>19</v>
      </c>
    </row>
    <row r="16" spans="1:14" x14ac:dyDescent="0.3">
      <c r="A16" t="s">
        <v>22</v>
      </c>
      <c r="B16">
        <v>278</v>
      </c>
      <c r="C16">
        <v>2185.21472392638</v>
      </c>
      <c r="D16">
        <v>2499.3457943925232</v>
      </c>
      <c r="E16">
        <v>489</v>
      </c>
      <c r="F16">
        <v>535</v>
      </c>
      <c r="G16">
        <v>2574.9155972376088</v>
      </c>
      <c r="H16">
        <v>2915.9953289536438</v>
      </c>
      <c r="I16">
        <v>1024</v>
      </c>
      <c r="J16">
        <v>2.2595878017564769E-2</v>
      </c>
      <c r="K16">
        <v>314.13107046614277</v>
      </c>
      <c r="L16">
        <v>1.8202681201948649</v>
      </c>
      <c r="M16">
        <v>6.9010560745835017E-2</v>
      </c>
      <c r="N16" t="s">
        <v>19</v>
      </c>
    </row>
    <row r="17" spans="1:14" x14ac:dyDescent="0.3">
      <c r="A17" t="s">
        <v>22</v>
      </c>
      <c r="B17">
        <v>444</v>
      </c>
      <c r="C17">
        <v>2545.7348754448399</v>
      </c>
      <c r="D17">
        <v>2404.106153846154</v>
      </c>
      <c r="E17">
        <v>562</v>
      </c>
      <c r="F17">
        <v>650</v>
      </c>
      <c r="G17">
        <v>2797.1387639335198</v>
      </c>
      <c r="H17">
        <v>2810.828487354604</v>
      </c>
      <c r="I17">
        <v>1212</v>
      </c>
      <c r="J17">
        <v>2.6744339997352051E-2</v>
      </c>
      <c r="K17">
        <v>-141.62872159868579</v>
      </c>
      <c r="L17">
        <v>-0.87674037193140575</v>
      </c>
      <c r="M17">
        <v>0.38080170010284242</v>
      </c>
      <c r="N17" t="s">
        <v>19</v>
      </c>
    </row>
    <row r="18" spans="1:14" x14ac:dyDescent="0.3">
      <c r="A18" t="s">
        <v>23</v>
      </c>
      <c r="B18">
        <v>1002</v>
      </c>
      <c r="C18">
        <v>1844.7872340425531</v>
      </c>
      <c r="D18">
        <v>4144.855072463768</v>
      </c>
      <c r="E18">
        <v>188</v>
      </c>
      <c r="F18">
        <v>138</v>
      </c>
      <c r="G18">
        <v>2436.5361201199112</v>
      </c>
      <c r="H18">
        <v>4069.769784107084</v>
      </c>
      <c r="I18">
        <v>326</v>
      </c>
      <c r="J18">
        <v>7.1936096032481573E-3</v>
      </c>
      <c r="K18">
        <v>2300.0678384212151</v>
      </c>
      <c r="L18">
        <v>6.3534483983808014</v>
      </c>
      <c r="M18">
        <v>7.1299585030233683E-10</v>
      </c>
      <c r="N18" t="s">
        <v>15</v>
      </c>
    </row>
    <row r="19" spans="1:14" x14ac:dyDescent="0.3">
      <c r="A19" t="s">
        <v>23</v>
      </c>
      <c r="B19">
        <v>1287</v>
      </c>
      <c r="C19">
        <v>1394.6554621848741</v>
      </c>
      <c r="D19">
        <v>2143.4891891891889</v>
      </c>
      <c r="E19">
        <v>357</v>
      </c>
      <c r="F19">
        <v>370</v>
      </c>
      <c r="G19">
        <v>2338.461778714975</v>
      </c>
      <c r="H19">
        <v>2441.2218976449781</v>
      </c>
      <c r="I19">
        <v>727</v>
      </c>
      <c r="J19">
        <v>1.604219074098592E-2</v>
      </c>
      <c r="K19">
        <v>748.83372700431551</v>
      </c>
      <c r="L19">
        <v>4.2210099215845469</v>
      </c>
      <c r="M19">
        <v>2.7411050206084379E-5</v>
      </c>
      <c r="N19" t="s">
        <v>15</v>
      </c>
    </row>
    <row r="20" spans="1:14" x14ac:dyDescent="0.3">
      <c r="A20" t="s">
        <v>23</v>
      </c>
      <c r="B20">
        <v>1654</v>
      </c>
      <c r="C20">
        <v>2507.8864516129029</v>
      </c>
      <c r="D20">
        <v>3176.4330413016269</v>
      </c>
      <c r="E20">
        <v>775</v>
      </c>
      <c r="F20">
        <v>799</v>
      </c>
      <c r="G20">
        <v>2950.5128884516939</v>
      </c>
      <c r="H20">
        <v>3208.0517628292901</v>
      </c>
      <c r="I20">
        <v>1574</v>
      </c>
      <c r="J20">
        <v>3.4732335937155218E-2</v>
      </c>
      <c r="K20">
        <v>668.54658968872354</v>
      </c>
      <c r="L20">
        <v>4.2997977681534039</v>
      </c>
      <c r="M20">
        <v>1.8146600593509569E-5</v>
      </c>
      <c r="N20" t="s">
        <v>15</v>
      </c>
    </row>
    <row r="21" spans="1:14" x14ac:dyDescent="0.3">
      <c r="A21" t="s">
        <v>23</v>
      </c>
      <c r="B21">
        <v>2212</v>
      </c>
      <c r="C21">
        <v>2739.3627204030231</v>
      </c>
      <c r="D21">
        <v>2827.2369668246452</v>
      </c>
      <c r="E21">
        <v>397</v>
      </c>
      <c r="F21">
        <v>422</v>
      </c>
      <c r="G21">
        <v>2446.975036181947</v>
      </c>
      <c r="H21">
        <v>3197.5429641908408</v>
      </c>
      <c r="I21">
        <v>819</v>
      </c>
      <c r="J21">
        <v>1.8072289156626509E-2</v>
      </c>
      <c r="K21">
        <v>87.874246421622047</v>
      </c>
      <c r="L21">
        <v>0.43968207853877772</v>
      </c>
      <c r="M21">
        <v>0.66028366208891054</v>
      </c>
      <c r="N21" t="s">
        <v>19</v>
      </c>
    </row>
    <row r="22" spans="1:14" x14ac:dyDescent="0.3">
      <c r="A22" t="s">
        <v>23</v>
      </c>
      <c r="B22">
        <v>2652</v>
      </c>
      <c r="C22">
        <v>1972.847679324894</v>
      </c>
      <c r="D22">
        <v>2508.8895732512101</v>
      </c>
      <c r="E22">
        <v>2370</v>
      </c>
      <c r="F22">
        <v>2273</v>
      </c>
      <c r="G22">
        <v>2565.8782422551972</v>
      </c>
      <c r="H22">
        <v>2846.636498318253</v>
      </c>
      <c r="I22">
        <v>4643</v>
      </c>
      <c r="J22">
        <v>0.1024537711284699</v>
      </c>
      <c r="K22">
        <v>536.0418939263152</v>
      </c>
      <c r="L22">
        <v>6.7451370750144903</v>
      </c>
      <c r="M22">
        <v>1.716200952795291E-11</v>
      </c>
      <c r="N22" t="s">
        <v>15</v>
      </c>
    </row>
    <row r="23" spans="1:14" x14ac:dyDescent="0.3">
      <c r="A23" t="s">
        <v>23</v>
      </c>
      <c r="B23">
        <v>3786</v>
      </c>
      <c r="C23">
        <v>2688.2302158273378</v>
      </c>
      <c r="D23">
        <v>2636.658227848101</v>
      </c>
      <c r="E23">
        <v>278</v>
      </c>
      <c r="F23">
        <v>237</v>
      </c>
      <c r="G23">
        <v>3292.9376410463929</v>
      </c>
      <c r="H23">
        <v>2713.0636767412552</v>
      </c>
      <c r="I23">
        <v>515</v>
      </c>
      <c r="J23">
        <v>1.136413787016197E-2</v>
      </c>
      <c r="K23">
        <v>-51.571987979236837</v>
      </c>
      <c r="L23">
        <v>-0.1918852001092001</v>
      </c>
      <c r="M23">
        <v>0.84790805885187892</v>
      </c>
      <c r="N23" t="s">
        <v>19</v>
      </c>
    </row>
    <row r="24" spans="1:14" x14ac:dyDescent="0.3">
      <c r="A24" t="s">
        <v>23</v>
      </c>
      <c r="B24">
        <v>3987</v>
      </c>
      <c r="C24">
        <v>1639.857324840764</v>
      </c>
      <c r="D24">
        <v>1602.995006242197</v>
      </c>
      <c r="E24">
        <v>785</v>
      </c>
      <c r="F24">
        <v>801</v>
      </c>
      <c r="G24">
        <v>2686.3174166097911</v>
      </c>
      <c r="H24">
        <v>2518.8292052013039</v>
      </c>
      <c r="I24">
        <v>1586</v>
      </c>
      <c r="J24">
        <v>3.4997131382673553E-2</v>
      </c>
      <c r="K24">
        <v>-36.862318598567072</v>
      </c>
      <c r="L24">
        <v>-0.28196520087867383</v>
      </c>
      <c r="M24">
        <v>0.77800702736032634</v>
      </c>
      <c r="N24" t="s">
        <v>19</v>
      </c>
    </row>
    <row r="25" spans="1:14" x14ac:dyDescent="0.3">
      <c r="A25" t="s">
        <v>23</v>
      </c>
      <c r="B25">
        <v>6543</v>
      </c>
      <c r="C25">
        <v>1528.3251088534109</v>
      </c>
      <c r="D25">
        <v>1715.486404833837</v>
      </c>
      <c r="E25">
        <v>689</v>
      </c>
      <c r="F25">
        <v>662</v>
      </c>
      <c r="G25">
        <v>2338.5220633259451</v>
      </c>
      <c r="H25">
        <v>2457.3687320570029</v>
      </c>
      <c r="I25">
        <v>1351</v>
      </c>
      <c r="J25">
        <v>2.981155390793945E-2</v>
      </c>
      <c r="K25">
        <v>187.1612959804261</v>
      </c>
      <c r="L25">
        <v>1.434398279645726</v>
      </c>
      <c r="M25">
        <v>0.15169040462954611</v>
      </c>
      <c r="N25" t="s">
        <v>19</v>
      </c>
    </row>
    <row r="26" spans="1:14" x14ac:dyDescent="0.3">
      <c r="A26" t="s">
        <v>23</v>
      </c>
      <c r="B26">
        <v>8543</v>
      </c>
      <c r="C26">
        <v>1804.25</v>
      </c>
      <c r="D26">
        <v>1859.7770270270271</v>
      </c>
      <c r="E26">
        <v>140</v>
      </c>
      <c r="F26">
        <v>148</v>
      </c>
      <c r="G26">
        <v>3015.726630467726</v>
      </c>
      <c r="H26">
        <v>2568.980429381174</v>
      </c>
      <c r="I26">
        <v>288</v>
      </c>
      <c r="J26">
        <v>6.3550906924400904E-3</v>
      </c>
      <c r="K26">
        <v>55.527027027027088</v>
      </c>
      <c r="L26">
        <v>0.16850596566670989</v>
      </c>
      <c r="M26">
        <v>0.86630435550570684</v>
      </c>
      <c r="N26" t="s">
        <v>19</v>
      </c>
    </row>
    <row r="27" spans="1:14" x14ac:dyDescent="0.3">
      <c r="A27" t="s">
        <v>23</v>
      </c>
      <c r="B27">
        <v>9121</v>
      </c>
      <c r="C27">
        <v>1856.9444444444439</v>
      </c>
      <c r="D27">
        <v>1976.854961832061</v>
      </c>
      <c r="E27">
        <v>108</v>
      </c>
      <c r="F27">
        <v>131</v>
      </c>
      <c r="G27">
        <v>2442.3261657052431</v>
      </c>
      <c r="H27">
        <v>2605.797427400732</v>
      </c>
      <c r="I27">
        <v>239</v>
      </c>
      <c r="J27">
        <v>5.2738426232402137E-3</v>
      </c>
      <c r="K27">
        <v>119.91051738761669</v>
      </c>
      <c r="L27">
        <v>0.36418256697602858</v>
      </c>
      <c r="M27">
        <v>0.71604638423203104</v>
      </c>
      <c r="N27" t="s">
        <v>19</v>
      </c>
    </row>
    <row r="28" spans="1:14" x14ac:dyDescent="0.3">
      <c r="A28" t="s">
        <v>23</v>
      </c>
      <c r="B28">
        <v>9931</v>
      </c>
      <c r="C28">
        <v>1968.693430656934</v>
      </c>
      <c r="D28">
        <v>1415.7843137254899</v>
      </c>
      <c r="E28">
        <v>137</v>
      </c>
      <c r="F28">
        <v>153</v>
      </c>
      <c r="G28">
        <v>2403.3978568404668</v>
      </c>
      <c r="H28">
        <v>2038.164247362319</v>
      </c>
      <c r="I28">
        <v>290</v>
      </c>
      <c r="J28">
        <v>6.3992232666931466E-3</v>
      </c>
      <c r="K28">
        <v>-552.90911693144403</v>
      </c>
      <c r="L28">
        <v>-2.1191969117156</v>
      </c>
      <c r="M28">
        <v>3.4929468998951822E-2</v>
      </c>
      <c r="N28" t="s">
        <v>17</v>
      </c>
    </row>
    <row r="29" spans="1:14" x14ac:dyDescent="0.3">
      <c r="A29" t="s">
        <v>24</v>
      </c>
      <c r="B29">
        <v>54</v>
      </c>
      <c r="C29">
        <v>1688.5125</v>
      </c>
      <c r="D29">
        <v>1702.7140600315961</v>
      </c>
      <c r="E29">
        <v>640</v>
      </c>
      <c r="F29">
        <v>633</v>
      </c>
      <c r="G29">
        <v>2628.0124903233959</v>
      </c>
      <c r="H29">
        <v>2565.1324395339639</v>
      </c>
      <c r="I29">
        <v>1273</v>
      </c>
      <c r="J29">
        <v>2.8090383512070261E-2</v>
      </c>
      <c r="K29">
        <v>14.201560031595591</v>
      </c>
      <c r="L29">
        <v>9.7555656950156625E-2</v>
      </c>
      <c r="M29">
        <v>0.92230051833342097</v>
      </c>
      <c r="N29" t="s">
        <v>19</v>
      </c>
    </row>
    <row r="30" spans="1:14" x14ac:dyDescent="0.3">
      <c r="A30" t="s">
        <v>24</v>
      </c>
      <c r="B30">
        <v>55</v>
      </c>
      <c r="C30">
        <v>2111.2729411764708</v>
      </c>
      <c r="D30">
        <v>2109.1066350710898</v>
      </c>
      <c r="E30">
        <v>425</v>
      </c>
      <c r="F30">
        <v>422</v>
      </c>
      <c r="G30">
        <v>2804.223188242755</v>
      </c>
      <c r="H30">
        <v>2790.9933852461809</v>
      </c>
      <c r="I30">
        <v>847</v>
      </c>
      <c r="J30">
        <v>1.8690145196169291E-2</v>
      </c>
      <c r="K30">
        <v>-2.1663061053809538</v>
      </c>
      <c r="L30">
        <v>-1.126774587434534E-2</v>
      </c>
      <c r="M30">
        <v>0.99101248941204068</v>
      </c>
      <c r="N30" t="s">
        <v>19</v>
      </c>
    </row>
    <row r="31" spans="1:14" x14ac:dyDescent="0.3">
      <c r="A31" t="s">
        <v>25</v>
      </c>
      <c r="B31">
        <v>33</v>
      </c>
      <c r="C31">
        <v>2311.3875968992252</v>
      </c>
      <c r="D31">
        <v>4598.2198275862074</v>
      </c>
      <c r="E31">
        <v>258</v>
      </c>
      <c r="F31">
        <v>232</v>
      </c>
      <c r="G31">
        <v>2371.7712956261339</v>
      </c>
      <c r="H31">
        <v>2931.2349256860789</v>
      </c>
      <c r="I31">
        <v>490</v>
      </c>
      <c r="J31">
        <v>1.081248069199876E-2</v>
      </c>
      <c r="K31">
        <v>2286.8322306869818</v>
      </c>
      <c r="L31">
        <v>9.5328379164110402</v>
      </c>
      <c r="M31">
        <v>7.2225189745714525E-20</v>
      </c>
      <c r="N31" t="s">
        <v>15</v>
      </c>
    </row>
    <row r="32" spans="1:14" x14ac:dyDescent="0.3">
      <c r="A32" t="s">
        <v>25</v>
      </c>
      <c r="B32">
        <v>34</v>
      </c>
      <c r="C32">
        <v>1752.608695652174</v>
      </c>
      <c r="D32">
        <v>3104.5066666666671</v>
      </c>
      <c r="E32">
        <v>253</v>
      </c>
      <c r="F32">
        <v>225</v>
      </c>
      <c r="G32">
        <v>2529.7007981220472</v>
      </c>
      <c r="H32">
        <v>2956.8269145922541</v>
      </c>
      <c r="I32">
        <v>478</v>
      </c>
      <c r="J32">
        <v>1.0547685246480429E-2</v>
      </c>
      <c r="K32">
        <v>1351.8979710144929</v>
      </c>
      <c r="L32">
        <v>5.3862649969282721</v>
      </c>
      <c r="M32">
        <v>1.1327785130388309E-7</v>
      </c>
      <c r="N32" t="s">
        <v>15</v>
      </c>
    </row>
    <row r="33" spans="1:14" x14ac:dyDescent="0.3">
      <c r="A33" t="s">
        <v>25</v>
      </c>
      <c r="B33">
        <v>35</v>
      </c>
      <c r="C33">
        <v>1508.8350515463919</v>
      </c>
      <c r="D33">
        <v>2762.2242990654199</v>
      </c>
      <c r="E33">
        <v>194</v>
      </c>
      <c r="F33">
        <v>214</v>
      </c>
      <c r="G33">
        <v>2184.8080940632271</v>
      </c>
      <c r="H33">
        <v>2977.0835472163549</v>
      </c>
      <c r="I33">
        <v>408</v>
      </c>
      <c r="J33">
        <v>9.0030451476234615E-3</v>
      </c>
      <c r="K33">
        <v>1253.3892475190289</v>
      </c>
      <c r="L33">
        <v>4.8066661954145689</v>
      </c>
      <c r="M33">
        <v>2.1646756758588111E-6</v>
      </c>
      <c r="N33" t="s">
        <v>15</v>
      </c>
    </row>
    <row r="34" spans="1:14" x14ac:dyDescent="0.3">
      <c r="A34" t="s">
        <v>25</v>
      </c>
      <c r="B34">
        <v>36</v>
      </c>
      <c r="C34">
        <v>860.41843971631204</v>
      </c>
      <c r="D34">
        <v>1987.3282442748091</v>
      </c>
      <c r="E34">
        <v>141</v>
      </c>
      <c r="F34">
        <v>131</v>
      </c>
      <c r="G34">
        <v>1840.8266394516049</v>
      </c>
      <c r="H34">
        <v>2718.502663211576</v>
      </c>
      <c r="I34">
        <v>272</v>
      </c>
      <c r="J34">
        <v>6.0020300984156404E-3</v>
      </c>
      <c r="K34">
        <v>1126.9098045584969</v>
      </c>
      <c r="L34">
        <v>4.0279507279668918</v>
      </c>
      <c r="M34">
        <v>7.3187580909933793E-5</v>
      </c>
      <c r="N34" t="s">
        <v>15</v>
      </c>
    </row>
    <row r="35" spans="1:14" x14ac:dyDescent="0.3">
      <c r="A35" t="s">
        <v>26</v>
      </c>
      <c r="B35">
        <v>112</v>
      </c>
      <c r="C35">
        <v>2218.6368960468521</v>
      </c>
      <c r="D35">
        <v>2488.1150306748468</v>
      </c>
      <c r="E35">
        <v>683</v>
      </c>
      <c r="F35">
        <v>652</v>
      </c>
      <c r="G35">
        <v>2780.7906600356778</v>
      </c>
      <c r="H35">
        <v>2778.1791825699379</v>
      </c>
      <c r="I35">
        <v>1335</v>
      </c>
      <c r="J35">
        <v>2.9458493313915E-2</v>
      </c>
      <c r="K35">
        <v>269.47813462799468</v>
      </c>
      <c r="L35">
        <v>1.770712015951776</v>
      </c>
      <c r="M35">
        <v>7.6837103037525542E-2</v>
      </c>
      <c r="N35" t="s">
        <v>19</v>
      </c>
    </row>
    <row r="36" spans="1:14" x14ac:dyDescent="0.3">
      <c r="A36" t="s">
        <v>26</v>
      </c>
      <c r="B36">
        <v>117</v>
      </c>
      <c r="C36">
        <v>2050.6916524701869</v>
      </c>
      <c r="D36">
        <v>2582.2975999999999</v>
      </c>
      <c r="E36">
        <v>587</v>
      </c>
      <c r="F36">
        <v>625</v>
      </c>
      <c r="G36">
        <v>2595.7377919626319</v>
      </c>
      <c r="H36">
        <v>2835.004503186402</v>
      </c>
      <c r="I36">
        <v>1212</v>
      </c>
      <c r="J36">
        <v>2.6744339997352051E-2</v>
      </c>
      <c r="K36">
        <v>531.60594752981251</v>
      </c>
      <c r="L36">
        <v>3.3981956005701761</v>
      </c>
      <c r="M36">
        <v>7.0038166313428352E-4</v>
      </c>
      <c r="N36" t="s">
        <v>15</v>
      </c>
    </row>
    <row r="37" spans="1:14" x14ac:dyDescent="0.3">
      <c r="A37" t="s">
        <v>26</v>
      </c>
      <c r="B37">
        <v>213</v>
      </c>
      <c r="C37">
        <v>2277.6117647058818</v>
      </c>
      <c r="D37">
        <v>2977.629310344827</v>
      </c>
      <c r="E37">
        <v>255</v>
      </c>
      <c r="F37">
        <v>232</v>
      </c>
      <c r="G37">
        <v>2710.0434132013179</v>
      </c>
      <c r="H37">
        <v>2905.4943623590038</v>
      </c>
      <c r="I37">
        <v>487</v>
      </c>
      <c r="J37">
        <v>1.0746281830619179E-2</v>
      </c>
      <c r="K37">
        <v>700.01754563894519</v>
      </c>
      <c r="L37">
        <v>2.7507518943584151</v>
      </c>
      <c r="M37">
        <v>6.1682152950104643E-3</v>
      </c>
      <c r="N37" t="s">
        <v>15</v>
      </c>
    </row>
    <row r="38" spans="1:14" x14ac:dyDescent="0.3">
      <c r="A38" t="s">
        <v>26</v>
      </c>
      <c r="B38">
        <v>309</v>
      </c>
      <c r="C38">
        <v>2392.8949579831929</v>
      </c>
      <c r="D38">
        <v>2706.2791666666672</v>
      </c>
      <c r="E38">
        <v>238</v>
      </c>
      <c r="F38">
        <v>240</v>
      </c>
      <c r="G38">
        <v>2761.9387158176178</v>
      </c>
      <c r="H38">
        <v>2814.9398488604029</v>
      </c>
      <c r="I38">
        <v>478</v>
      </c>
      <c r="J38">
        <v>1.0547685246480429E-2</v>
      </c>
      <c r="K38">
        <v>313.38420868347339</v>
      </c>
      <c r="L38">
        <v>1.228454613597767</v>
      </c>
      <c r="M38">
        <v>0.21988338416718509</v>
      </c>
      <c r="N38" t="s">
        <v>19</v>
      </c>
    </row>
    <row r="39" spans="1:14" x14ac:dyDescent="0.3">
      <c r="A39" t="s">
        <v>26</v>
      </c>
      <c r="B39">
        <v>394</v>
      </c>
      <c r="C39">
        <v>973.62352941176471</v>
      </c>
      <c r="D39">
        <v>1229.6442307692309</v>
      </c>
      <c r="E39">
        <v>85</v>
      </c>
      <c r="F39">
        <v>104</v>
      </c>
      <c r="G39">
        <v>1940.8548250244601</v>
      </c>
      <c r="H39">
        <v>2208.227839827166</v>
      </c>
      <c r="I39">
        <v>189</v>
      </c>
      <c r="J39">
        <v>4.1705282669138094E-3</v>
      </c>
      <c r="K39">
        <v>256.02070135746601</v>
      </c>
      <c r="L39">
        <v>0.83682539191105032</v>
      </c>
      <c r="M39">
        <v>0.40375884675107382</v>
      </c>
      <c r="N39" t="s">
        <v>19</v>
      </c>
    </row>
    <row r="40" spans="1:14" x14ac:dyDescent="0.3">
      <c r="A40" t="s">
        <v>26</v>
      </c>
      <c r="B40">
        <v>453</v>
      </c>
      <c r="C40">
        <v>1889.9237368922779</v>
      </c>
      <c r="D40">
        <v>2501.9662288930581</v>
      </c>
      <c r="E40">
        <v>1049</v>
      </c>
      <c r="F40">
        <v>1066</v>
      </c>
      <c r="G40">
        <v>2648.659303282589</v>
      </c>
      <c r="H40">
        <v>2993.4425401386889</v>
      </c>
      <c r="I40">
        <v>2115</v>
      </c>
      <c r="J40">
        <v>4.6670197272606913E-2</v>
      </c>
      <c r="K40">
        <v>612.0424920007797</v>
      </c>
      <c r="L40">
        <v>4.976910182958596</v>
      </c>
      <c r="M40">
        <v>6.9832069012744641E-7</v>
      </c>
      <c r="N40" t="s">
        <v>15</v>
      </c>
    </row>
    <row r="41" spans="1:14" x14ac:dyDescent="0.3">
      <c r="A41" t="s">
        <v>26</v>
      </c>
      <c r="B41">
        <v>573</v>
      </c>
      <c r="C41">
        <v>1641.2125000000001</v>
      </c>
      <c r="D41">
        <v>2929.0451977401131</v>
      </c>
      <c r="E41">
        <v>160</v>
      </c>
      <c r="F41">
        <v>177</v>
      </c>
      <c r="G41">
        <v>2619.0447809502311</v>
      </c>
      <c r="H41">
        <v>3201.0981368955968</v>
      </c>
      <c r="I41">
        <v>337</v>
      </c>
      <c r="J41">
        <v>7.4363387616399662E-3</v>
      </c>
      <c r="K41">
        <v>1287.832697740113</v>
      </c>
      <c r="L41">
        <v>4.0165685114334524</v>
      </c>
      <c r="M41">
        <v>7.2940741192307104E-5</v>
      </c>
      <c r="N41" t="s">
        <v>15</v>
      </c>
    </row>
    <row r="42" spans="1:14" x14ac:dyDescent="0.3">
      <c r="A42" t="s">
        <v>26</v>
      </c>
      <c r="B42">
        <v>576</v>
      </c>
      <c r="C42">
        <v>1342.1293759512939</v>
      </c>
      <c r="D42">
        <v>1594.436507936508</v>
      </c>
      <c r="E42">
        <v>657</v>
      </c>
      <c r="F42">
        <v>630</v>
      </c>
      <c r="G42">
        <v>2415.8226638760798</v>
      </c>
      <c r="H42">
        <v>2683.7272105777479</v>
      </c>
      <c r="I42">
        <v>1287</v>
      </c>
      <c r="J42">
        <v>2.8399311531841651E-2</v>
      </c>
      <c r="K42">
        <v>252.30713198521431</v>
      </c>
      <c r="L42">
        <v>1.7740729896541769</v>
      </c>
      <c r="M42">
        <v>7.6287833758135845E-2</v>
      </c>
      <c r="N42" t="s">
        <v>19</v>
      </c>
    </row>
    <row r="43" spans="1:14" x14ac:dyDescent="0.3">
      <c r="A43" t="s">
        <v>26</v>
      </c>
      <c r="B43">
        <v>801</v>
      </c>
      <c r="C43">
        <v>2352.283018867925</v>
      </c>
      <c r="D43">
        <v>2925.1422222222218</v>
      </c>
      <c r="E43">
        <v>212</v>
      </c>
      <c r="F43">
        <v>225</v>
      </c>
      <c r="G43">
        <v>2928.285837816507</v>
      </c>
      <c r="H43">
        <v>2774.2920633734338</v>
      </c>
      <c r="I43">
        <v>437</v>
      </c>
      <c r="J43">
        <v>9.6429674742927757E-3</v>
      </c>
      <c r="K43">
        <v>572.85920335429773</v>
      </c>
      <c r="L43">
        <v>2.0999906224732121</v>
      </c>
      <c r="M43">
        <v>3.6305006065519063E-2</v>
      </c>
      <c r="N43" t="s">
        <v>15</v>
      </c>
    </row>
    <row r="44" spans="1:14" x14ac:dyDescent="0.3">
      <c r="A44" t="s">
        <v>26</v>
      </c>
      <c r="B44">
        <v>891</v>
      </c>
      <c r="C44">
        <v>1980.65868263473</v>
      </c>
      <c r="D44">
        <v>2618.949685534591</v>
      </c>
      <c r="E44">
        <v>167</v>
      </c>
      <c r="F44">
        <v>159</v>
      </c>
      <c r="G44">
        <v>2489.5719421398171</v>
      </c>
      <c r="H44">
        <v>2899.7824641211591</v>
      </c>
      <c r="I44">
        <v>326</v>
      </c>
      <c r="J44">
        <v>7.1936096032481573E-3</v>
      </c>
      <c r="K44">
        <v>638.29100289986059</v>
      </c>
      <c r="L44">
        <v>2.135593480676524</v>
      </c>
      <c r="M44">
        <v>3.3462036844691949E-2</v>
      </c>
      <c r="N44" t="s">
        <v>15</v>
      </c>
    </row>
    <row r="45" spans="1:14" x14ac:dyDescent="0.3">
      <c r="A45" t="s">
        <v>26</v>
      </c>
      <c r="B45">
        <v>900</v>
      </c>
      <c r="C45">
        <v>1689.7917888563049</v>
      </c>
      <c r="D45">
        <v>2450.991044776119</v>
      </c>
      <c r="E45">
        <v>341</v>
      </c>
      <c r="F45">
        <v>335</v>
      </c>
      <c r="G45">
        <v>2492.4726113410579</v>
      </c>
      <c r="H45">
        <v>2865.6073558468588</v>
      </c>
      <c r="I45">
        <v>676</v>
      </c>
      <c r="J45">
        <v>1.4916810097532989E-2</v>
      </c>
      <c r="K45">
        <v>761.1992559198145</v>
      </c>
      <c r="L45">
        <v>3.686913572889702</v>
      </c>
      <c r="M45">
        <v>2.4525342392273569E-4</v>
      </c>
      <c r="N45" t="s">
        <v>15</v>
      </c>
    </row>
    <row r="46" spans="1:14" x14ac:dyDescent="0.3">
      <c r="A46" t="s">
        <v>27</v>
      </c>
      <c r="B46">
        <v>80</v>
      </c>
      <c r="C46">
        <v>2511.9727272727268</v>
      </c>
      <c r="D46">
        <v>2517.3305687203788</v>
      </c>
      <c r="E46">
        <v>880</v>
      </c>
      <c r="F46">
        <v>844</v>
      </c>
      <c r="G46">
        <v>2824.7199322235629</v>
      </c>
      <c r="H46">
        <v>2797.1230332386049</v>
      </c>
      <c r="I46">
        <v>1724</v>
      </c>
      <c r="J46">
        <v>3.8042279006134418E-2</v>
      </c>
      <c r="K46">
        <v>5.3578414476519356</v>
      </c>
      <c r="L46">
        <v>3.9558086467205961E-2</v>
      </c>
      <c r="M46">
        <v>0.96845002895143795</v>
      </c>
      <c r="N46" t="s">
        <v>19</v>
      </c>
    </row>
    <row r="47" spans="1:14" x14ac:dyDescent="0.3">
      <c r="A47" t="s">
        <v>27</v>
      </c>
      <c r="B47">
        <v>82</v>
      </c>
      <c r="C47">
        <v>2655.6724890829701</v>
      </c>
      <c r="D47">
        <v>2586.0118343195272</v>
      </c>
      <c r="E47">
        <v>229</v>
      </c>
      <c r="F47">
        <v>169</v>
      </c>
      <c r="G47">
        <v>2929.363686396488</v>
      </c>
      <c r="H47">
        <v>2676.435562700452</v>
      </c>
      <c r="I47">
        <v>398</v>
      </c>
      <c r="J47">
        <v>8.7823822763581794E-3</v>
      </c>
      <c r="K47">
        <v>-69.660654763442835</v>
      </c>
      <c r="L47">
        <v>-0.2431728557168128</v>
      </c>
      <c r="M47">
        <v>0.80799740556960586</v>
      </c>
      <c r="N47" t="s">
        <v>19</v>
      </c>
    </row>
    <row r="48" spans="1:14" x14ac:dyDescent="0.3">
      <c r="A48" t="s">
        <v>28</v>
      </c>
      <c r="B48">
        <v>69</v>
      </c>
      <c r="C48">
        <v>600.15384615384619</v>
      </c>
      <c r="D48">
        <v>1171.4533333333329</v>
      </c>
      <c r="E48">
        <v>78</v>
      </c>
      <c r="F48">
        <v>75</v>
      </c>
      <c r="G48">
        <v>1690.139755052342</v>
      </c>
      <c r="H48">
        <v>2578.1041027632468</v>
      </c>
      <c r="I48">
        <v>153</v>
      </c>
      <c r="J48">
        <v>3.3761419303587979E-3</v>
      </c>
      <c r="K48">
        <v>571.29948717948719</v>
      </c>
      <c r="L48">
        <v>1.6270604929283119</v>
      </c>
      <c r="M48">
        <v>0.105809212549273</v>
      </c>
      <c r="N48" t="s">
        <v>19</v>
      </c>
    </row>
    <row r="49" spans="1:14" x14ac:dyDescent="0.3">
      <c r="A49" t="s">
        <v>29</v>
      </c>
      <c r="B49">
        <v>72</v>
      </c>
      <c r="C49">
        <v>2523.3755868544599</v>
      </c>
      <c r="D49">
        <v>2371.4334975369461</v>
      </c>
      <c r="E49">
        <v>639</v>
      </c>
      <c r="F49">
        <v>609</v>
      </c>
      <c r="G49">
        <v>2795.917175533607</v>
      </c>
      <c r="H49">
        <v>2906.824457531342</v>
      </c>
      <c r="I49">
        <v>1248</v>
      </c>
      <c r="J49">
        <v>2.7538726333907061E-2</v>
      </c>
      <c r="K49">
        <v>-151.9420893175143</v>
      </c>
      <c r="L49">
        <v>-0.94123363535756777</v>
      </c>
      <c r="M49">
        <v>0.3467675852041211</v>
      </c>
      <c r="N49" t="s">
        <v>19</v>
      </c>
    </row>
    <row r="50" spans="1:14" x14ac:dyDescent="0.3">
      <c r="A50" t="s">
        <v>29</v>
      </c>
      <c r="B50">
        <v>73</v>
      </c>
      <c r="C50">
        <v>2521.958083832335</v>
      </c>
      <c r="D50">
        <v>2092.181818181818</v>
      </c>
      <c r="E50">
        <v>167</v>
      </c>
      <c r="F50">
        <v>187</v>
      </c>
      <c r="G50">
        <v>2875.4596329355918</v>
      </c>
      <c r="H50">
        <v>2530.274648080996</v>
      </c>
      <c r="I50">
        <v>354</v>
      </c>
      <c r="J50">
        <v>7.8114656427909438E-3</v>
      </c>
      <c r="K50">
        <v>-429.77626565051742</v>
      </c>
      <c r="L50">
        <v>-1.4958446791905911</v>
      </c>
      <c r="M50">
        <v>0.13559014690618429</v>
      </c>
      <c r="N50" t="s">
        <v>19</v>
      </c>
    </row>
    <row r="51" spans="1:14" x14ac:dyDescent="0.3">
      <c r="A51" t="s">
        <v>30</v>
      </c>
      <c r="B51">
        <v>88</v>
      </c>
      <c r="C51">
        <v>2439.4610778443121</v>
      </c>
      <c r="D51">
        <v>2902.410526315789</v>
      </c>
      <c r="E51">
        <v>167</v>
      </c>
      <c r="F51">
        <v>190</v>
      </c>
      <c r="G51">
        <v>2689.343053091382</v>
      </c>
      <c r="H51">
        <v>3074.6488868920269</v>
      </c>
      <c r="I51">
        <v>357</v>
      </c>
      <c r="J51">
        <v>7.8776645041705277E-3</v>
      </c>
      <c r="K51">
        <v>462.94944847147781</v>
      </c>
      <c r="L51">
        <v>1.5045563456740749</v>
      </c>
      <c r="M51">
        <v>0.1333273246710206</v>
      </c>
      <c r="N51" t="s">
        <v>19</v>
      </c>
    </row>
    <row r="52" spans="1:14" x14ac:dyDescent="0.3">
      <c r="A52" t="s">
        <v>31</v>
      </c>
      <c r="B52">
        <v>19</v>
      </c>
      <c r="C52">
        <v>1743.3767123287671</v>
      </c>
      <c r="D52">
        <v>2043.823076923077</v>
      </c>
      <c r="E52">
        <v>146</v>
      </c>
      <c r="F52">
        <v>130</v>
      </c>
      <c r="G52">
        <v>2891.333359375938</v>
      </c>
      <c r="H52">
        <v>2442.2667875313759</v>
      </c>
      <c r="I52">
        <v>276</v>
      </c>
      <c r="J52">
        <v>6.0902952469217529E-3</v>
      </c>
      <c r="K52">
        <v>300.4463645943099</v>
      </c>
      <c r="L52">
        <v>0.92645906346779439</v>
      </c>
      <c r="M52">
        <v>0.35502276486047568</v>
      </c>
      <c r="N5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opLeftCell="B1" workbookViewId="0">
      <selection activeCell="N19" sqref="N19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9.77734375" bestFit="1" customWidth="1"/>
    <col min="4" max="4" width="16.77734375" bestFit="1" customWidth="1"/>
    <col min="5" max="5" width="12.88671875" bestFit="1" customWidth="1"/>
    <col min="6" max="6" width="10" bestFit="1" customWidth="1"/>
    <col min="7" max="7" width="12.88671875" bestFit="1" customWidth="1"/>
    <col min="8" max="8" width="12" bestFit="1" customWidth="1"/>
    <col min="9" max="9" width="8.77734375" bestFit="1" customWidth="1"/>
    <col min="10" max="10" width="13.44140625" bestFit="1" customWidth="1"/>
    <col min="11" max="13" width="12" bestFit="1" customWidth="1"/>
    <col min="14" max="14" width="7.33203125" bestFit="1" customWidth="1"/>
    <col min="15" max="15" width="13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40</v>
      </c>
    </row>
    <row r="2" spans="1:15" x14ac:dyDescent="0.3">
      <c r="A2" t="s">
        <v>14</v>
      </c>
      <c r="B2">
        <v>11</v>
      </c>
      <c r="C2">
        <v>2108.6101973684208</v>
      </c>
      <c r="D2">
        <v>2547.2200392927311</v>
      </c>
      <c r="E2">
        <v>608</v>
      </c>
      <c r="F2">
        <v>509</v>
      </c>
      <c r="G2">
        <v>2663.0383919741248</v>
      </c>
      <c r="H2">
        <v>3023.7021636269092</v>
      </c>
      <c r="I2">
        <v>1117</v>
      </c>
      <c r="J2">
        <v>2.4648042720331879E-2</v>
      </c>
      <c r="K2">
        <v>438.60984192430942</v>
      </c>
      <c r="L2">
        <v>2.576955493292318</v>
      </c>
      <c r="M2">
        <v>1.009511217035171E-2</v>
      </c>
      <c r="N2" t="s">
        <v>15</v>
      </c>
      <c r="O2">
        <f>K2*J2*Итог!$B$2</f>
        <v>10810.87412130839</v>
      </c>
    </row>
    <row r="3" spans="1:15" x14ac:dyDescent="0.3">
      <c r="A3" t="s">
        <v>20</v>
      </c>
      <c r="B3">
        <v>991</v>
      </c>
      <c r="C3">
        <v>2452.9863945578231</v>
      </c>
      <c r="D3">
        <v>3249.281481481481</v>
      </c>
      <c r="E3">
        <v>294</v>
      </c>
      <c r="F3">
        <v>270</v>
      </c>
      <c r="G3">
        <v>3633.9358583139378</v>
      </c>
      <c r="H3">
        <v>4719.592601269801</v>
      </c>
      <c r="I3">
        <v>564</v>
      </c>
      <c r="J3">
        <v>1.244538593936184E-2</v>
      </c>
      <c r="K3">
        <v>796.29508692365835</v>
      </c>
      <c r="L3">
        <v>2.2552583978062271</v>
      </c>
      <c r="M3">
        <v>2.4501004890271769E-2</v>
      </c>
      <c r="N3" t="s">
        <v>15</v>
      </c>
      <c r="O3">
        <f>K3*J3*Итог!$B$2</f>
        <v>9910.1996783826107</v>
      </c>
    </row>
    <row r="4" spans="1:15" x14ac:dyDescent="0.3">
      <c r="A4" t="s">
        <v>23</v>
      </c>
      <c r="B4">
        <v>1002</v>
      </c>
      <c r="C4">
        <v>1844.7872340425531</v>
      </c>
      <c r="D4">
        <v>4144.855072463768</v>
      </c>
      <c r="E4">
        <v>188</v>
      </c>
      <c r="F4">
        <v>138</v>
      </c>
      <c r="G4">
        <v>2436.5361201199112</v>
      </c>
      <c r="H4">
        <v>4069.769784107084</v>
      </c>
      <c r="I4">
        <v>326</v>
      </c>
      <c r="J4">
        <v>7.1936096032481573E-3</v>
      </c>
      <c r="K4">
        <v>2300.0678384212151</v>
      </c>
      <c r="L4">
        <v>6.3534483983808014</v>
      </c>
      <c r="M4">
        <v>7.1299585030233683E-10</v>
      </c>
      <c r="N4" t="s">
        <v>15</v>
      </c>
      <c r="O4">
        <f>K4*J4*Итог!$B$2</f>
        <v>16545.790090589082</v>
      </c>
    </row>
    <row r="5" spans="1:15" x14ac:dyDescent="0.3">
      <c r="A5" t="s">
        <v>23</v>
      </c>
      <c r="B5">
        <v>1287</v>
      </c>
      <c r="C5">
        <v>1394.6554621848741</v>
      </c>
      <c r="D5">
        <v>2143.4891891891889</v>
      </c>
      <c r="E5">
        <v>357</v>
      </c>
      <c r="F5">
        <v>370</v>
      </c>
      <c r="G5">
        <v>2338.461778714975</v>
      </c>
      <c r="H5">
        <v>2441.2218976449781</v>
      </c>
      <c r="I5">
        <v>727</v>
      </c>
      <c r="J5">
        <v>1.604219074098592E-2</v>
      </c>
      <c r="K5">
        <v>748.83372700431551</v>
      </c>
      <c r="L5">
        <v>4.2210099215845469</v>
      </c>
      <c r="M5">
        <v>2.7411050206084379E-5</v>
      </c>
      <c r="N5" t="s">
        <v>15</v>
      </c>
      <c r="O5">
        <f>K5*J5*Итог!$B$2</f>
        <v>12012.933481886608</v>
      </c>
    </row>
    <row r="6" spans="1:15" x14ac:dyDescent="0.3">
      <c r="A6" t="s">
        <v>23</v>
      </c>
      <c r="B6">
        <v>1654</v>
      </c>
      <c r="C6">
        <v>2507.8864516129029</v>
      </c>
      <c r="D6">
        <v>3176.4330413016269</v>
      </c>
      <c r="E6">
        <v>775</v>
      </c>
      <c r="F6">
        <v>799</v>
      </c>
      <c r="G6">
        <v>2950.5128884516939</v>
      </c>
      <c r="H6">
        <v>3208.0517628292901</v>
      </c>
      <c r="I6">
        <v>1574</v>
      </c>
      <c r="J6">
        <v>3.4732335937155218E-2</v>
      </c>
      <c r="K6">
        <v>668.54658968872354</v>
      </c>
      <c r="L6">
        <v>4.2997977681534039</v>
      </c>
      <c r="M6">
        <v>1.8146600593509569E-5</v>
      </c>
      <c r="N6" t="s">
        <v>15</v>
      </c>
      <c r="O6">
        <f>K6*J6*Итог!$B$2</f>
        <v>23220.184742708218</v>
      </c>
    </row>
    <row r="7" spans="1:15" x14ac:dyDescent="0.3">
      <c r="A7" t="s">
        <v>23</v>
      </c>
      <c r="B7">
        <v>2652</v>
      </c>
      <c r="C7">
        <v>1972.847679324894</v>
      </c>
      <c r="D7">
        <v>2508.8895732512101</v>
      </c>
      <c r="E7">
        <v>2370</v>
      </c>
      <c r="F7">
        <v>2273</v>
      </c>
      <c r="G7">
        <v>2565.8782422551972</v>
      </c>
      <c r="H7">
        <v>2846.636498318253</v>
      </c>
      <c r="I7">
        <v>4643</v>
      </c>
      <c r="J7">
        <v>0.1024537711284699</v>
      </c>
      <c r="K7">
        <v>536.0418939263152</v>
      </c>
      <c r="L7">
        <v>6.7451370750144903</v>
      </c>
      <c r="M7">
        <v>1.716200952795291E-11</v>
      </c>
      <c r="N7" t="s">
        <v>15</v>
      </c>
      <c r="O7">
        <f>K7*J7*Итог!$B$2</f>
        <v>54919.513515598243</v>
      </c>
    </row>
    <row r="8" spans="1:15" x14ac:dyDescent="0.3">
      <c r="A8" t="s">
        <v>25</v>
      </c>
      <c r="B8">
        <v>33</v>
      </c>
      <c r="C8">
        <v>2311.3875968992252</v>
      </c>
      <c r="D8">
        <v>4598.2198275862074</v>
      </c>
      <c r="E8">
        <v>258</v>
      </c>
      <c r="F8">
        <v>232</v>
      </c>
      <c r="G8">
        <v>2371.7712956261339</v>
      </c>
      <c r="H8">
        <v>2931.2349256860789</v>
      </c>
      <c r="I8">
        <v>490</v>
      </c>
      <c r="J8">
        <v>1.081248069199876E-2</v>
      </c>
      <c r="K8">
        <v>2286.8322306869818</v>
      </c>
      <c r="L8">
        <v>9.5328379164110402</v>
      </c>
      <c r="M8">
        <v>7.2225189745714525E-20</v>
      </c>
      <c r="N8" t="s">
        <v>15</v>
      </c>
      <c r="O8">
        <f>K8*J8*Итог!$B$2</f>
        <v>24726.329340143442</v>
      </c>
    </row>
    <row r="9" spans="1:15" x14ac:dyDescent="0.3">
      <c r="A9" t="s">
        <v>25</v>
      </c>
      <c r="B9">
        <v>34</v>
      </c>
      <c r="C9">
        <v>1752.608695652174</v>
      </c>
      <c r="D9">
        <v>3104.5066666666671</v>
      </c>
      <c r="E9">
        <v>253</v>
      </c>
      <c r="F9">
        <v>225</v>
      </c>
      <c r="G9">
        <v>2529.7007981220472</v>
      </c>
      <c r="H9">
        <v>2956.8269145922541</v>
      </c>
      <c r="I9">
        <v>478</v>
      </c>
      <c r="J9">
        <v>1.0547685246480429E-2</v>
      </c>
      <c r="K9">
        <v>1351.8979710144929</v>
      </c>
      <c r="L9">
        <v>5.3862649969282721</v>
      </c>
      <c r="M9">
        <v>1.1327785130388309E-7</v>
      </c>
      <c r="N9" t="s">
        <v>15</v>
      </c>
      <c r="O9">
        <f>K9*J9*Итог!$B$2</f>
        <v>14259.394283616393</v>
      </c>
    </row>
    <row r="10" spans="1:15" x14ac:dyDescent="0.3">
      <c r="A10" t="s">
        <v>25</v>
      </c>
      <c r="B10">
        <v>35</v>
      </c>
      <c r="C10">
        <v>1508.8350515463919</v>
      </c>
      <c r="D10">
        <v>2762.2242990654199</v>
      </c>
      <c r="E10">
        <v>194</v>
      </c>
      <c r="F10">
        <v>214</v>
      </c>
      <c r="G10">
        <v>2184.8080940632271</v>
      </c>
      <c r="H10">
        <v>2977.0835472163549</v>
      </c>
      <c r="I10">
        <v>408</v>
      </c>
      <c r="J10">
        <v>9.0030451476234615E-3</v>
      </c>
      <c r="K10">
        <v>1253.3892475190289</v>
      </c>
      <c r="L10">
        <v>4.8066661954145689</v>
      </c>
      <c r="M10">
        <v>2.1646756758588111E-6</v>
      </c>
      <c r="N10" t="s">
        <v>15</v>
      </c>
      <c r="O10">
        <f>K10*J10*Итог!$B$2</f>
        <v>11284.319982959614</v>
      </c>
    </row>
    <row r="11" spans="1:15" x14ac:dyDescent="0.3">
      <c r="A11" t="s">
        <v>25</v>
      </c>
      <c r="B11">
        <v>36</v>
      </c>
      <c r="C11">
        <v>860.41843971631204</v>
      </c>
      <c r="D11">
        <v>1987.3282442748091</v>
      </c>
      <c r="E11">
        <v>141</v>
      </c>
      <c r="F11">
        <v>131</v>
      </c>
      <c r="G11">
        <v>1840.8266394516049</v>
      </c>
      <c r="H11">
        <v>2718.502663211576</v>
      </c>
      <c r="I11">
        <v>272</v>
      </c>
      <c r="J11">
        <v>6.0020300984156404E-3</v>
      </c>
      <c r="K11">
        <v>1126.9098045584969</v>
      </c>
      <c r="L11">
        <v>4.0279507279668918</v>
      </c>
      <c r="M11">
        <v>7.3187580909933793E-5</v>
      </c>
      <c r="N11" t="s">
        <v>15</v>
      </c>
      <c r="O11">
        <f>K11*J11*Итог!$B$2</f>
        <v>6763.7465651597859</v>
      </c>
    </row>
    <row r="12" spans="1:15" x14ac:dyDescent="0.3">
      <c r="A12" t="s">
        <v>26</v>
      </c>
      <c r="B12">
        <v>117</v>
      </c>
      <c r="C12">
        <v>2050.6916524701869</v>
      </c>
      <c r="D12">
        <v>2582.2975999999999</v>
      </c>
      <c r="E12">
        <v>587</v>
      </c>
      <c r="F12">
        <v>625</v>
      </c>
      <c r="G12">
        <v>2595.7377919626319</v>
      </c>
      <c r="H12">
        <v>2835.004503186402</v>
      </c>
      <c r="I12">
        <v>1212</v>
      </c>
      <c r="J12">
        <v>2.6744339997352051E-2</v>
      </c>
      <c r="K12">
        <v>531.60594752981251</v>
      </c>
      <c r="L12">
        <v>3.3981956005701761</v>
      </c>
      <c r="M12">
        <v>7.0038166313428352E-4</v>
      </c>
      <c r="N12" t="s">
        <v>15</v>
      </c>
      <c r="O12">
        <f>K12*J12*Итог!$B$2</f>
        <v>14217.450205351801</v>
      </c>
    </row>
    <row r="13" spans="1:15" x14ac:dyDescent="0.3">
      <c r="A13" t="s">
        <v>26</v>
      </c>
      <c r="B13">
        <v>213</v>
      </c>
      <c r="C13">
        <v>2277.6117647058818</v>
      </c>
      <c r="D13">
        <v>2977.629310344827</v>
      </c>
      <c r="E13">
        <v>255</v>
      </c>
      <c r="F13">
        <v>232</v>
      </c>
      <c r="G13">
        <v>2710.0434132013179</v>
      </c>
      <c r="H13">
        <v>2905.4943623590038</v>
      </c>
      <c r="I13">
        <v>487</v>
      </c>
      <c r="J13">
        <v>1.0746281830619179E-2</v>
      </c>
      <c r="K13">
        <v>700.01754563894519</v>
      </c>
      <c r="L13">
        <v>2.7507518943584151</v>
      </c>
      <c r="M13">
        <v>6.1682152950104643E-3</v>
      </c>
      <c r="N13" t="s">
        <v>15</v>
      </c>
      <c r="O13">
        <f>K13*J13*Итог!$B$2</f>
        <v>7522.5858318144292</v>
      </c>
    </row>
    <row r="14" spans="1:15" x14ac:dyDescent="0.3">
      <c r="A14" t="s">
        <v>26</v>
      </c>
      <c r="B14">
        <v>453</v>
      </c>
      <c r="C14">
        <v>1889.9237368922779</v>
      </c>
      <c r="D14">
        <v>2501.9662288930581</v>
      </c>
      <c r="E14">
        <v>1049</v>
      </c>
      <c r="F14">
        <v>1066</v>
      </c>
      <c r="G14">
        <v>2648.659303282589</v>
      </c>
      <c r="H14">
        <v>2993.4425401386889</v>
      </c>
      <c r="I14">
        <v>2115</v>
      </c>
      <c r="J14">
        <v>4.6670197272606913E-2</v>
      </c>
      <c r="K14">
        <v>612.0424920007797</v>
      </c>
      <c r="L14">
        <v>4.976910182958596</v>
      </c>
      <c r="M14">
        <v>6.9832069012744641E-7</v>
      </c>
      <c r="N14" t="s">
        <v>15</v>
      </c>
      <c r="O14">
        <f>K14*J14*Итог!$B$2</f>
        <v>28564.143840894329</v>
      </c>
    </row>
    <row r="15" spans="1:15" x14ac:dyDescent="0.3">
      <c r="A15" t="s">
        <v>26</v>
      </c>
      <c r="B15">
        <v>573</v>
      </c>
      <c r="C15">
        <v>1641.2125000000001</v>
      </c>
      <c r="D15">
        <v>2929.0451977401131</v>
      </c>
      <c r="E15">
        <v>160</v>
      </c>
      <c r="F15">
        <v>177</v>
      </c>
      <c r="G15">
        <v>2619.0447809502311</v>
      </c>
      <c r="H15">
        <v>3201.0981368955968</v>
      </c>
      <c r="I15">
        <v>337</v>
      </c>
      <c r="J15">
        <v>7.4363387616399662E-3</v>
      </c>
      <c r="K15">
        <v>1287.832697740113</v>
      </c>
      <c r="L15">
        <v>4.0165685114334524</v>
      </c>
      <c r="M15">
        <v>7.2940741192307104E-5</v>
      </c>
      <c r="N15" t="s">
        <v>15</v>
      </c>
      <c r="O15">
        <f>K15*J15*Итог!$B$2</f>
        <v>9576.7602087121686</v>
      </c>
    </row>
    <row r="16" spans="1:15" x14ac:dyDescent="0.3">
      <c r="A16" t="s">
        <v>26</v>
      </c>
      <c r="B16">
        <v>801</v>
      </c>
      <c r="C16">
        <v>2352.283018867925</v>
      </c>
      <c r="D16">
        <v>2925.1422222222218</v>
      </c>
      <c r="E16">
        <v>212</v>
      </c>
      <c r="F16">
        <v>225</v>
      </c>
      <c r="G16">
        <v>2928.285837816507</v>
      </c>
      <c r="H16">
        <v>2774.2920633734338</v>
      </c>
      <c r="I16">
        <v>437</v>
      </c>
      <c r="J16">
        <v>9.6429674742927757E-3</v>
      </c>
      <c r="K16">
        <v>572.85920335429773</v>
      </c>
      <c r="L16">
        <v>2.0999906224732121</v>
      </c>
      <c r="M16">
        <v>3.6305006065519063E-2</v>
      </c>
      <c r="N16" t="s">
        <v>15</v>
      </c>
      <c r="O16">
        <f>K16*J16*Итог!$B$2</f>
        <v>5524.062665294764</v>
      </c>
    </row>
    <row r="17" spans="1:15" x14ac:dyDescent="0.3">
      <c r="A17" t="s">
        <v>26</v>
      </c>
      <c r="B17">
        <v>891</v>
      </c>
      <c r="C17">
        <v>1980.65868263473</v>
      </c>
      <c r="D17">
        <v>2618.949685534591</v>
      </c>
      <c r="E17">
        <v>167</v>
      </c>
      <c r="F17">
        <v>159</v>
      </c>
      <c r="G17">
        <v>2489.5719421398171</v>
      </c>
      <c r="H17">
        <v>2899.7824641211591</v>
      </c>
      <c r="I17">
        <v>326</v>
      </c>
      <c r="J17">
        <v>7.1936096032481573E-3</v>
      </c>
      <c r="K17">
        <v>638.29100289986059</v>
      </c>
      <c r="L17">
        <v>2.135593480676524</v>
      </c>
      <c r="M17">
        <v>3.3462036844691949E-2</v>
      </c>
      <c r="N17" t="s">
        <v>15</v>
      </c>
      <c r="O17">
        <f>K17*J17*Итог!$B$2</f>
        <v>4591.6162881273349</v>
      </c>
    </row>
    <row r="18" spans="1:15" x14ac:dyDescent="0.3">
      <c r="A18" t="s">
        <v>26</v>
      </c>
      <c r="B18">
        <v>900</v>
      </c>
      <c r="C18">
        <v>1689.7917888563049</v>
      </c>
      <c r="D18">
        <v>2450.991044776119</v>
      </c>
      <c r="E18">
        <v>341</v>
      </c>
      <c r="F18">
        <v>335</v>
      </c>
      <c r="G18">
        <v>2492.4726113410579</v>
      </c>
      <c r="H18">
        <v>2865.6073558468588</v>
      </c>
      <c r="I18">
        <v>676</v>
      </c>
      <c r="J18">
        <v>1.4916810097532989E-2</v>
      </c>
      <c r="K18">
        <v>761.1992559198145</v>
      </c>
      <c r="L18">
        <v>3.686913572889702</v>
      </c>
      <c r="M18">
        <v>2.4525342392273569E-4</v>
      </c>
      <c r="N18" t="s">
        <v>15</v>
      </c>
      <c r="O18">
        <f>K18*J18*Итог!$B$2</f>
        <v>11354.664746939286</v>
      </c>
    </row>
    <row r="19" spans="1:15" x14ac:dyDescent="0.3">
      <c r="O19" s="12">
        <f>SUM(O2:O18)</f>
        <v>265804.56958948652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>
      <selection activeCell="P15" sqref="P15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19.77734375" bestFit="1" customWidth="1"/>
    <col min="4" max="4" width="16.77734375" bestFit="1" customWidth="1"/>
    <col min="5" max="5" width="12.88671875" bestFit="1" customWidth="1"/>
    <col min="6" max="6" width="10" bestFit="1" customWidth="1"/>
    <col min="7" max="7" width="12.88671875" bestFit="1" customWidth="1"/>
    <col min="8" max="8" width="12" bestFit="1" customWidth="1"/>
    <col min="9" max="9" width="8.77734375" bestFit="1" customWidth="1"/>
    <col min="10" max="10" width="13.44140625" bestFit="1" customWidth="1"/>
    <col min="11" max="12" width="12.6640625" bestFit="1" customWidth="1"/>
    <col min="13" max="13" width="12" bestFit="1" customWidth="1"/>
    <col min="14" max="14" width="7.88671875" bestFit="1" customWidth="1"/>
    <col min="15" max="15" width="13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40</v>
      </c>
    </row>
    <row r="2" spans="1:15" x14ac:dyDescent="0.3">
      <c r="A2" t="s">
        <v>16</v>
      </c>
      <c r="B2">
        <v>66</v>
      </c>
      <c r="C2">
        <v>2601.7610241820771</v>
      </c>
      <c r="D2">
        <v>2288.8706240487058</v>
      </c>
      <c r="E2">
        <v>703</v>
      </c>
      <c r="F2">
        <v>657</v>
      </c>
      <c r="G2">
        <v>2830.1937733415111</v>
      </c>
      <c r="H2">
        <v>2682.567610473357</v>
      </c>
      <c r="I2">
        <v>1360</v>
      </c>
      <c r="J2">
        <v>3.00101504920782E-2</v>
      </c>
      <c r="K2">
        <v>-312.89040013337029</v>
      </c>
      <c r="L2">
        <v>-2.0892718943323438</v>
      </c>
      <c r="M2">
        <v>3.6868999280986539E-2</v>
      </c>
      <c r="N2" t="s">
        <v>17</v>
      </c>
      <c r="O2">
        <f>K2*J2*Итог!$B$2</f>
        <v>-9389.8879955290067</v>
      </c>
    </row>
    <row r="3" spans="1:15" x14ac:dyDescent="0.3">
      <c r="A3" t="s">
        <v>21</v>
      </c>
      <c r="B3">
        <v>1101</v>
      </c>
      <c r="C3">
        <v>2523.5788262370538</v>
      </c>
      <c r="D3">
        <v>2176.0038216560511</v>
      </c>
      <c r="E3">
        <v>869</v>
      </c>
      <c r="F3">
        <v>785</v>
      </c>
      <c r="G3">
        <v>2960.352337638426</v>
      </c>
      <c r="H3">
        <v>2722.6244937401748</v>
      </c>
      <c r="I3">
        <v>1654</v>
      </c>
      <c r="J3">
        <v>3.649763890727746E-2</v>
      </c>
      <c r="K3">
        <v>-347.57500458100321</v>
      </c>
      <c r="L3">
        <v>-2.476736308530425</v>
      </c>
      <c r="M3">
        <v>1.33584476189182E-2</v>
      </c>
      <c r="N3" t="s">
        <v>17</v>
      </c>
      <c r="O3">
        <f>K3*J3*Итог!$B$2</f>
        <v>-12685.667010392764</v>
      </c>
    </row>
    <row r="4" spans="1:15" x14ac:dyDescent="0.3">
      <c r="A4" t="s">
        <v>23</v>
      </c>
      <c r="B4">
        <v>9931</v>
      </c>
      <c r="C4">
        <v>1968.693430656934</v>
      </c>
      <c r="D4">
        <v>1415.7843137254899</v>
      </c>
      <c r="E4">
        <v>137</v>
      </c>
      <c r="F4">
        <v>153</v>
      </c>
      <c r="G4">
        <v>2403.3978568404668</v>
      </c>
      <c r="H4">
        <v>2038.164247362319</v>
      </c>
      <c r="I4">
        <v>290</v>
      </c>
      <c r="J4">
        <v>6.3992232666931466E-3</v>
      </c>
      <c r="K4">
        <v>-552.90911693144403</v>
      </c>
      <c r="L4">
        <v>-2.1191969117156</v>
      </c>
      <c r="M4">
        <v>3.4929468998951822E-2</v>
      </c>
      <c r="N4" t="s">
        <v>17</v>
      </c>
      <c r="O4">
        <f>K4*J4*Итог!$B$2</f>
        <v>-3538.1888854344579</v>
      </c>
    </row>
    <row r="5" spans="1:15" x14ac:dyDescent="0.3">
      <c r="O5" s="12">
        <f>SUM(O2:O4)</f>
        <v>-25613.743891356229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topLeftCell="A13" workbookViewId="0">
      <selection activeCell="O24" sqref="O24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9.77734375" bestFit="1" customWidth="1"/>
    <col min="4" max="4" width="16.77734375" bestFit="1" customWidth="1"/>
    <col min="5" max="5" width="12.88671875" bestFit="1" customWidth="1"/>
    <col min="6" max="6" width="10" bestFit="1" customWidth="1"/>
    <col min="7" max="7" width="12.88671875" bestFit="1" customWidth="1"/>
    <col min="8" max="8" width="12" bestFit="1" customWidth="1"/>
    <col min="9" max="9" width="8.77734375" bestFit="1" customWidth="1"/>
    <col min="10" max="10" width="13.44140625" bestFit="1" customWidth="1"/>
    <col min="11" max="12" width="12.6640625" bestFit="1" customWidth="1"/>
    <col min="13" max="13" width="12" bestFit="1" customWidth="1"/>
    <col min="14" max="14" width="6.77734375" bestFit="1" customWidth="1"/>
    <col min="15" max="15" width="9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41</v>
      </c>
    </row>
    <row r="2" spans="1:15" x14ac:dyDescent="0.3">
      <c r="A2" t="s">
        <v>18</v>
      </c>
      <c r="B2">
        <v>2</v>
      </c>
      <c r="C2">
        <v>483.45070422535213</v>
      </c>
      <c r="D2">
        <v>579.33333333333337</v>
      </c>
      <c r="E2">
        <v>71</v>
      </c>
      <c r="F2">
        <v>78</v>
      </c>
      <c r="G2">
        <v>1654.9231815467831</v>
      </c>
      <c r="H2">
        <v>1860.762430432972</v>
      </c>
      <c r="I2">
        <v>149</v>
      </c>
      <c r="J2">
        <v>3.2878767818526849E-3</v>
      </c>
      <c r="K2">
        <v>95.882629107981245</v>
      </c>
      <c r="L2">
        <v>0.33105243476452068</v>
      </c>
      <c r="M2">
        <v>0.7410763125801646</v>
      </c>
      <c r="N2" t="s">
        <v>19</v>
      </c>
      <c r="O2" s="8">
        <f>(H2^2)/(Итог!$B$3^2)</f>
        <v>3.4624368225108206</v>
      </c>
    </row>
    <row r="3" spans="1:15" x14ac:dyDescent="0.3">
      <c r="A3" t="s">
        <v>20</v>
      </c>
      <c r="B3">
        <v>439</v>
      </c>
      <c r="C3">
        <v>2400.635327635327</v>
      </c>
      <c r="D3">
        <v>2481.9605633802821</v>
      </c>
      <c r="E3">
        <v>351</v>
      </c>
      <c r="F3">
        <v>355</v>
      </c>
      <c r="G3">
        <v>3722.11707243604</v>
      </c>
      <c r="H3">
        <v>4040.441006810247</v>
      </c>
      <c r="I3">
        <v>706</v>
      </c>
      <c r="J3">
        <v>1.5578798711328831E-2</v>
      </c>
      <c r="K3">
        <v>81.325235744954171</v>
      </c>
      <c r="L3">
        <v>0.27806735037805058</v>
      </c>
      <c r="M3">
        <v>0.78104230354142801</v>
      </c>
      <c r="N3" t="s">
        <v>19</v>
      </c>
      <c r="O3" s="8">
        <f>(H3^2)/(Итог!$B$3^2)</f>
        <v>16.325163529513802</v>
      </c>
    </row>
    <row r="4" spans="1:15" x14ac:dyDescent="0.3">
      <c r="A4" t="s">
        <v>20</v>
      </c>
      <c r="B4">
        <v>477</v>
      </c>
      <c r="C4">
        <v>2496.987046632124</v>
      </c>
      <c r="D4">
        <v>2259.623036649215</v>
      </c>
      <c r="E4">
        <v>386</v>
      </c>
      <c r="F4">
        <v>382</v>
      </c>
      <c r="G4">
        <v>3881.994718522551</v>
      </c>
      <c r="H4">
        <v>3482.8460937348018</v>
      </c>
      <c r="I4">
        <v>768</v>
      </c>
      <c r="J4">
        <v>1.694690851317357E-2</v>
      </c>
      <c r="K4">
        <v>-237.36400998290989</v>
      </c>
      <c r="L4">
        <v>-0.89159336291986235</v>
      </c>
      <c r="M4">
        <v>0.37289090359186572</v>
      </c>
      <c r="N4" t="s">
        <v>19</v>
      </c>
      <c r="O4" s="8">
        <f>(H4^2)/(Итог!$B$3^2)</f>
        <v>12.130216912643768</v>
      </c>
    </row>
    <row r="5" spans="1:15" x14ac:dyDescent="0.3">
      <c r="A5" t="s">
        <v>20</v>
      </c>
      <c r="B5">
        <v>516</v>
      </c>
      <c r="C5">
        <v>2880.48427672956</v>
      </c>
      <c r="D5">
        <v>3245.2003154574131</v>
      </c>
      <c r="E5">
        <v>636</v>
      </c>
      <c r="F5">
        <v>634</v>
      </c>
      <c r="G5">
        <v>3819.2928134705749</v>
      </c>
      <c r="H5">
        <v>4543.1692617437193</v>
      </c>
      <c r="I5">
        <v>1270</v>
      </c>
      <c r="J5">
        <v>2.8024184650690679E-2</v>
      </c>
      <c r="K5">
        <v>364.71603872785317</v>
      </c>
      <c r="L5">
        <v>1.5486734367114749</v>
      </c>
      <c r="M5">
        <v>0.12170977776688099</v>
      </c>
      <c r="N5" t="s">
        <v>19</v>
      </c>
      <c r="O5" s="8">
        <f>(H5^2)/(Итог!$B$3^2)</f>
        <v>20.64038694085297</v>
      </c>
    </row>
    <row r="6" spans="1:15" x14ac:dyDescent="0.3">
      <c r="A6" t="s">
        <v>20</v>
      </c>
      <c r="B6">
        <v>544</v>
      </c>
      <c r="C6">
        <v>2635.5480769230771</v>
      </c>
      <c r="D6">
        <v>2621.4270557029181</v>
      </c>
      <c r="E6">
        <v>416</v>
      </c>
      <c r="F6">
        <v>377</v>
      </c>
      <c r="G6">
        <v>4639.820746183972</v>
      </c>
      <c r="H6">
        <v>3714.8947510376838</v>
      </c>
      <c r="I6">
        <v>793</v>
      </c>
      <c r="J6">
        <v>1.749856569133678E-2</v>
      </c>
      <c r="K6">
        <v>-14.12102122015949</v>
      </c>
      <c r="L6">
        <v>-4.6997059757738199E-2</v>
      </c>
      <c r="M6">
        <v>0.96252743362660054</v>
      </c>
      <c r="N6" t="s">
        <v>19</v>
      </c>
      <c r="O6" s="8">
        <f>(H6^2)/(Итог!$B$3^2)</f>
        <v>13.800443011287335</v>
      </c>
    </row>
    <row r="7" spans="1:15" x14ac:dyDescent="0.3">
      <c r="A7" t="s">
        <v>20</v>
      </c>
      <c r="B7">
        <v>699</v>
      </c>
      <c r="C7">
        <v>2574.3522267206481</v>
      </c>
      <c r="D7">
        <v>2422.286307053942</v>
      </c>
      <c r="E7">
        <v>494</v>
      </c>
      <c r="F7">
        <v>482</v>
      </c>
      <c r="G7">
        <v>4082.851355871665</v>
      </c>
      <c r="H7">
        <v>3906.8178974938178</v>
      </c>
      <c r="I7">
        <v>976</v>
      </c>
      <c r="J7">
        <v>2.1536696235491419E-2</v>
      </c>
      <c r="K7">
        <v>-152.0659196667057</v>
      </c>
      <c r="L7">
        <v>-0.59425382588472897</v>
      </c>
      <c r="M7">
        <v>0.55248035588145283</v>
      </c>
      <c r="N7" t="s">
        <v>19</v>
      </c>
      <c r="O7" s="8">
        <f>(H7^2)/(Итог!$B$3^2)</f>
        <v>15.263226084178015</v>
      </c>
    </row>
    <row r="8" spans="1:15" x14ac:dyDescent="0.3">
      <c r="A8" t="s">
        <v>21</v>
      </c>
      <c r="B8">
        <v>1989</v>
      </c>
      <c r="C8">
        <v>4163.9592592592589</v>
      </c>
      <c r="D8">
        <v>4407.3849372384939</v>
      </c>
      <c r="E8">
        <v>270</v>
      </c>
      <c r="F8">
        <v>239</v>
      </c>
      <c r="G8">
        <v>2492.0962933115161</v>
      </c>
      <c r="H8">
        <v>2737.9007251199769</v>
      </c>
      <c r="I8">
        <v>509</v>
      </c>
      <c r="J8">
        <v>1.1231740147402801E-2</v>
      </c>
      <c r="K8">
        <v>243.42567797923491</v>
      </c>
      <c r="L8">
        <v>1.0499935308392909</v>
      </c>
      <c r="M8">
        <v>0.29422131648059052</v>
      </c>
      <c r="N8" t="s">
        <v>19</v>
      </c>
      <c r="O8" s="8">
        <f>(H8^2)/(Итог!$B$3^2)</f>
        <v>7.4961003806124955</v>
      </c>
    </row>
    <row r="9" spans="1:15" x14ac:dyDescent="0.3">
      <c r="A9" t="s">
        <v>22</v>
      </c>
      <c r="B9">
        <v>202</v>
      </c>
      <c r="C9">
        <v>2730.378761061947</v>
      </c>
      <c r="D9">
        <v>2927.341197822142</v>
      </c>
      <c r="E9">
        <v>565</v>
      </c>
      <c r="F9">
        <v>551</v>
      </c>
      <c r="G9">
        <v>2737.8857851630241</v>
      </c>
      <c r="H9">
        <v>2956.6862414948778</v>
      </c>
      <c r="I9">
        <v>1116</v>
      </c>
      <c r="J9">
        <v>2.4625976433205351E-2</v>
      </c>
      <c r="K9">
        <v>196.96243676019461</v>
      </c>
      <c r="L9">
        <v>1.155072918440385</v>
      </c>
      <c r="M9">
        <v>0.24830826390447139</v>
      </c>
      <c r="N9" t="s">
        <v>19</v>
      </c>
      <c r="O9" s="8">
        <f>(H9^2)/(Итог!$B$3^2)</f>
        <v>8.7419935306451055</v>
      </c>
    </row>
    <row r="10" spans="1:15" x14ac:dyDescent="0.3">
      <c r="A10" t="s">
        <v>22</v>
      </c>
      <c r="B10">
        <v>212</v>
      </c>
      <c r="C10">
        <v>2222.052173913044</v>
      </c>
      <c r="D10">
        <v>2144.317032040472</v>
      </c>
      <c r="E10">
        <v>575</v>
      </c>
      <c r="F10">
        <v>593</v>
      </c>
      <c r="G10">
        <v>2785.1162501572289</v>
      </c>
      <c r="H10">
        <v>2708.58872398012</v>
      </c>
      <c r="I10">
        <v>1168</v>
      </c>
      <c r="J10">
        <v>2.5773423363784811E-2</v>
      </c>
      <c r="K10">
        <v>-77.735141872571603</v>
      </c>
      <c r="L10">
        <v>-0.48358538550993968</v>
      </c>
      <c r="M10">
        <v>0.62877094764054164</v>
      </c>
      <c r="N10" t="s">
        <v>19</v>
      </c>
      <c r="O10" s="8">
        <f>(H10^2)/(Итог!$B$3^2)</f>
        <v>7.3364528756722551</v>
      </c>
    </row>
    <row r="11" spans="1:15" x14ac:dyDescent="0.3">
      <c r="A11" t="s">
        <v>22</v>
      </c>
      <c r="B11">
        <v>277</v>
      </c>
      <c r="C11">
        <v>2431.3653032440061</v>
      </c>
      <c r="D11">
        <v>2285.75</v>
      </c>
      <c r="E11">
        <v>709</v>
      </c>
      <c r="F11">
        <v>708</v>
      </c>
      <c r="G11">
        <v>2868.587568641391</v>
      </c>
      <c r="H11">
        <v>2712.6778782628048</v>
      </c>
      <c r="I11">
        <v>1417</v>
      </c>
      <c r="J11">
        <v>3.1267928858290307E-2</v>
      </c>
      <c r="K11">
        <v>-145.61530324400559</v>
      </c>
      <c r="L11">
        <v>-0.98170546685316118</v>
      </c>
      <c r="M11">
        <v>0.32641278977933119</v>
      </c>
      <c r="N11" t="s">
        <v>19</v>
      </c>
      <c r="O11" s="8">
        <f>(H11^2)/(Итог!$B$3^2)</f>
        <v>7.3586212712163928</v>
      </c>
    </row>
    <row r="12" spans="1:15" x14ac:dyDescent="0.3">
      <c r="A12" t="s">
        <v>22</v>
      </c>
      <c r="B12">
        <v>278</v>
      </c>
      <c r="C12">
        <v>2185.21472392638</v>
      </c>
      <c r="D12">
        <v>2499.3457943925232</v>
      </c>
      <c r="E12">
        <v>489</v>
      </c>
      <c r="F12">
        <v>535</v>
      </c>
      <c r="G12">
        <v>2574.9155972376088</v>
      </c>
      <c r="H12">
        <v>2915.9953289536438</v>
      </c>
      <c r="I12">
        <v>1024</v>
      </c>
      <c r="J12">
        <v>2.2595878017564769E-2</v>
      </c>
      <c r="K12">
        <v>314.13107046614277</v>
      </c>
      <c r="L12">
        <v>1.8202681201948649</v>
      </c>
      <c r="M12">
        <v>6.9010560745835017E-2</v>
      </c>
      <c r="N12" t="s">
        <v>19</v>
      </c>
      <c r="O12" s="8">
        <f>(H12^2)/(Итог!$B$3^2)</f>
        <v>8.5030287584794682</v>
      </c>
    </row>
    <row r="13" spans="1:15" x14ac:dyDescent="0.3">
      <c r="A13" t="s">
        <v>22</v>
      </c>
      <c r="B13">
        <v>444</v>
      </c>
      <c r="C13">
        <v>2545.7348754448399</v>
      </c>
      <c r="D13">
        <v>2404.106153846154</v>
      </c>
      <c r="E13">
        <v>562</v>
      </c>
      <c r="F13">
        <v>650</v>
      </c>
      <c r="G13">
        <v>2797.1387639335198</v>
      </c>
      <c r="H13">
        <v>2810.828487354604</v>
      </c>
      <c r="I13">
        <v>1212</v>
      </c>
      <c r="J13">
        <v>2.6744339997352051E-2</v>
      </c>
      <c r="K13">
        <v>-141.62872159868579</v>
      </c>
      <c r="L13">
        <v>-0.87674037193140575</v>
      </c>
      <c r="M13">
        <v>0.38080170010284242</v>
      </c>
      <c r="N13" t="s">
        <v>19</v>
      </c>
      <c r="O13" s="8">
        <f>(H13^2)/(Итог!$B$3^2)</f>
        <v>7.9007567853241714</v>
      </c>
    </row>
    <row r="14" spans="1:15" x14ac:dyDescent="0.3">
      <c r="A14" t="s">
        <v>23</v>
      </c>
      <c r="B14">
        <v>2212</v>
      </c>
      <c r="C14">
        <v>2739.3627204030231</v>
      </c>
      <c r="D14">
        <v>2827.2369668246452</v>
      </c>
      <c r="E14">
        <v>397</v>
      </c>
      <c r="F14">
        <v>422</v>
      </c>
      <c r="G14">
        <v>2446.975036181947</v>
      </c>
      <c r="H14">
        <v>3197.5429641908408</v>
      </c>
      <c r="I14">
        <v>819</v>
      </c>
      <c r="J14">
        <v>1.8072289156626509E-2</v>
      </c>
      <c r="K14">
        <v>87.874246421622047</v>
      </c>
      <c r="L14">
        <v>0.43968207853877772</v>
      </c>
      <c r="M14">
        <v>0.66028366208891054</v>
      </c>
      <c r="N14" t="s">
        <v>19</v>
      </c>
      <c r="O14" s="8">
        <f>(H14^2)/(Итог!$B$3^2)</f>
        <v>10.224281007846351</v>
      </c>
    </row>
    <row r="15" spans="1:15" x14ac:dyDescent="0.3">
      <c r="A15" t="s">
        <v>23</v>
      </c>
      <c r="B15">
        <v>3786</v>
      </c>
      <c r="C15">
        <v>2688.2302158273378</v>
      </c>
      <c r="D15">
        <v>2636.658227848101</v>
      </c>
      <c r="E15">
        <v>278</v>
      </c>
      <c r="F15">
        <v>237</v>
      </c>
      <c r="G15">
        <v>3292.9376410463929</v>
      </c>
      <c r="H15">
        <v>2713.0636767412552</v>
      </c>
      <c r="I15">
        <v>515</v>
      </c>
      <c r="J15">
        <v>1.136413787016197E-2</v>
      </c>
      <c r="K15">
        <v>-51.571987979236837</v>
      </c>
      <c r="L15">
        <v>-0.1918852001092001</v>
      </c>
      <c r="M15">
        <v>0.84790805885187892</v>
      </c>
      <c r="N15" t="s">
        <v>19</v>
      </c>
      <c r="O15" s="8">
        <f>(H15^2)/(Итог!$B$3^2)</f>
        <v>7.3607145140527788</v>
      </c>
    </row>
    <row r="16" spans="1:15" x14ac:dyDescent="0.3">
      <c r="A16" t="s">
        <v>23</v>
      </c>
      <c r="B16">
        <v>3987</v>
      </c>
      <c r="C16">
        <v>1639.857324840764</v>
      </c>
      <c r="D16">
        <v>1602.995006242197</v>
      </c>
      <c r="E16">
        <v>785</v>
      </c>
      <c r="F16">
        <v>801</v>
      </c>
      <c r="G16">
        <v>2686.3174166097911</v>
      </c>
      <c r="H16">
        <v>2518.8292052013039</v>
      </c>
      <c r="I16">
        <v>1586</v>
      </c>
      <c r="J16">
        <v>3.4997131382673553E-2</v>
      </c>
      <c r="K16">
        <v>-36.862318598567072</v>
      </c>
      <c r="L16">
        <v>-0.28196520087867383</v>
      </c>
      <c r="M16">
        <v>0.77800702736032634</v>
      </c>
      <c r="N16" t="s">
        <v>19</v>
      </c>
      <c r="O16" s="8">
        <f>(H16^2)/(Итог!$B$3^2)</f>
        <v>6.344500564975033</v>
      </c>
    </row>
    <row r="17" spans="1:15" x14ac:dyDescent="0.3">
      <c r="A17" t="s">
        <v>23</v>
      </c>
      <c r="B17">
        <v>6543</v>
      </c>
      <c r="C17">
        <v>1528.3251088534109</v>
      </c>
      <c r="D17">
        <v>1715.486404833837</v>
      </c>
      <c r="E17">
        <v>689</v>
      </c>
      <c r="F17">
        <v>662</v>
      </c>
      <c r="G17">
        <v>2338.5220633259451</v>
      </c>
      <c r="H17">
        <v>2457.3687320570029</v>
      </c>
      <c r="I17">
        <v>1351</v>
      </c>
      <c r="J17">
        <v>2.981155390793945E-2</v>
      </c>
      <c r="K17">
        <v>187.1612959804261</v>
      </c>
      <c r="L17">
        <v>1.434398279645726</v>
      </c>
      <c r="M17">
        <v>0.15169040462954611</v>
      </c>
      <c r="N17" t="s">
        <v>19</v>
      </c>
      <c r="O17" s="8">
        <f>(H17^2)/(Итог!$B$3^2)</f>
        <v>6.0386610852914426</v>
      </c>
    </row>
    <row r="18" spans="1:15" x14ac:dyDescent="0.3">
      <c r="A18" t="s">
        <v>23</v>
      </c>
      <c r="B18">
        <v>8543</v>
      </c>
      <c r="C18">
        <v>1804.25</v>
      </c>
      <c r="D18">
        <v>1859.7770270270271</v>
      </c>
      <c r="E18">
        <v>140</v>
      </c>
      <c r="F18">
        <v>148</v>
      </c>
      <c r="G18">
        <v>3015.726630467726</v>
      </c>
      <c r="H18">
        <v>2568.980429381174</v>
      </c>
      <c r="I18">
        <v>288</v>
      </c>
      <c r="J18">
        <v>6.3550906924400904E-3</v>
      </c>
      <c r="K18">
        <v>55.527027027027088</v>
      </c>
      <c r="L18">
        <v>0.16850596566670989</v>
      </c>
      <c r="M18">
        <v>0.86630435550570684</v>
      </c>
      <c r="N18" t="s">
        <v>19</v>
      </c>
      <c r="O18" s="8">
        <f>(H18^2)/(Итог!$B$3^2)</f>
        <v>6.5996604465434814</v>
      </c>
    </row>
    <row r="19" spans="1:15" x14ac:dyDescent="0.3">
      <c r="A19" t="s">
        <v>23</v>
      </c>
      <c r="B19">
        <v>9121</v>
      </c>
      <c r="C19">
        <v>1856.9444444444439</v>
      </c>
      <c r="D19">
        <v>1976.854961832061</v>
      </c>
      <c r="E19">
        <v>108</v>
      </c>
      <c r="F19">
        <v>131</v>
      </c>
      <c r="G19">
        <v>2442.3261657052431</v>
      </c>
      <c r="H19">
        <v>2605.797427400732</v>
      </c>
      <c r="I19">
        <v>239</v>
      </c>
      <c r="J19">
        <v>5.2738426232402137E-3</v>
      </c>
      <c r="K19">
        <v>119.91051738761669</v>
      </c>
      <c r="L19">
        <v>0.36418256697602858</v>
      </c>
      <c r="M19">
        <v>0.71604638423203104</v>
      </c>
      <c r="N19" t="s">
        <v>19</v>
      </c>
      <c r="O19" s="8">
        <f>(H19^2)/(Итог!$B$3^2)</f>
        <v>6.7901802326482734</v>
      </c>
    </row>
    <row r="20" spans="1:15" x14ac:dyDescent="0.3">
      <c r="A20" t="s">
        <v>24</v>
      </c>
      <c r="B20">
        <v>54</v>
      </c>
      <c r="C20">
        <v>1688.5125</v>
      </c>
      <c r="D20">
        <v>1702.7140600315961</v>
      </c>
      <c r="E20">
        <v>640</v>
      </c>
      <c r="F20">
        <v>633</v>
      </c>
      <c r="G20">
        <v>2628.0124903233959</v>
      </c>
      <c r="H20">
        <v>2565.1324395339639</v>
      </c>
      <c r="I20">
        <v>1273</v>
      </c>
      <c r="J20">
        <v>2.8090383512070261E-2</v>
      </c>
      <c r="K20">
        <v>14.201560031595591</v>
      </c>
      <c r="L20">
        <v>9.7555656950156625E-2</v>
      </c>
      <c r="M20">
        <v>0.92230051833342097</v>
      </c>
      <c r="N20" t="s">
        <v>19</v>
      </c>
      <c r="O20" s="8">
        <f>(H20^2)/(Итог!$B$3^2)</f>
        <v>6.5799044323494646</v>
      </c>
    </row>
    <row r="21" spans="1:15" x14ac:dyDescent="0.3">
      <c r="A21" t="s">
        <v>24</v>
      </c>
      <c r="B21">
        <v>55</v>
      </c>
      <c r="C21">
        <v>2111.2729411764708</v>
      </c>
      <c r="D21">
        <v>2109.1066350710898</v>
      </c>
      <c r="E21">
        <v>425</v>
      </c>
      <c r="F21">
        <v>422</v>
      </c>
      <c r="G21">
        <v>2804.223188242755</v>
      </c>
      <c r="H21">
        <v>2790.9933852461809</v>
      </c>
      <c r="I21">
        <v>847</v>
      </c>
      <c r="J21">
        <v>1.8690145196169291E-2</v>
      </c>
      <c r="K21">
        <v>-2.1663061053809538</v>
      </c>
      <c r="L21">
        <v>-1.126774587434534E-2</v>
      </c>
      <c r="M21">
        <v>0.99101248941204068</v>
      </c>
      <c r="N21" t="s">
        <v>19</v>
      </c>
      <c r="O21" s="8">
        <f>(H21^2)/(Итог!$B$3^2)</f>
        <v>7.7896440764879369</v>
      </c>
    </row>
    <row r="22" spans="1:15" x14ac:dyDescent="0.3">
      <c r="A22" t="s">
        <v>26</v>
      </c>
      <c r="B22">
        <v>112</v>
      </c>
      <c r="C22">
        <v>2218.6368960468521</v>
      </c>
      <c r="D22">
        <v>2488.1150306748468</v>
      </c>
      <c r="E22">
        <v>683</v>
      </c>
      <c r="F22">
        <v>652</v>
      </c>
      <c r="G22">
        <v>2780.7906600356778</v>
      </c>
      <c r="H22">
        <v>2778.1791825699379</v>
      </c>
      <c r="I22">
        <v>1335</v>
      </c>
      <c r="J22">
        <v>2.9458493313915E-2</v>
      </c>
      <c r="K22">
        <v>269.47813462799468</v>
      </c>
      <c r="L22">
        <v>1.770712015951776</v>
      </c>
      <c r="M22">
        <v>7.6837103037525542E-2</v>
      </c>
      <c r="N22" t="s">
        <v>19</v>
      </c>
      <c r="O22" s="8">
        <f>(H22^2)/(Итог!$B$3^2)</f>
        <v>7.7182795704649685</v>
      </c>
    </row>
    <row r="23" spans="1:15" x14ac:dyDescent="0.3">
      <c r="A23" t="s">
        <v>26</v>
      </c>
      <c r="B23">
        <v>309</v>
      </c>
      <c r="C23">
        <v>2392.8949579831929</v>
      </c>
      <c r="D23">
        <v>2706.2791666666672</v>
      </c>
      <c r="E23">
        <v>238</v>
      </c>
      <c r="F23">
        <v>240</v>
      </c>
      <c r="G23">
        <v>2761.9387158176178</v>
      </c>
      <c r="H23">
        <v>2814.9398488604029</v>
      </c>
      <c r="I23">
        <v>478</v>
      </c>
      <c r="J23">
        <v>1.0547685246480429E-2</v>
      </c>
      <c r="K23">
        <v>313.38420868347339</v>
      </c>
      <c r="L23">
        <v>1.228454613597767</v>
      </c>
      <c r="M23">
        <v>0.21988338416718509</v>
      </c>
      <c r="N23" t="s">
        <v>19</v>
      </c>
      <c r="O23" s="8">
        <f>(H23^2)/(Итог!$B$3^2)</f>
        <v>7.9238863527022279</v>
      </c>
    </row>
    <row r="24" spans="1:15" x14ac:dyDescent="0.3">
      <c r="A24" t="s">
        <v>26</v>
      </c>
      <c r="B24">
        <v>394</v>
      </c>
      <c r="C24">
        <v>973.62352941176471</v>
      </c>
      <c r="D24">
        <v>1229.6442307692309</v>
      </c>
      <c r="E24">
        <v>85</v>
      </c>
      <c r="F24">
        <v>104</v>
      </c>
      <c r="G24">
        <v>1940.8548250244601</v>
      </c>
      <c r="H24">
        <v>2208.227839827166</v>
      </c>
      <c r="I24">
        <v>189</v>
      </c>
      <c r="J24">
        <v>4.1705282669138094E-3</v>
      </c>
      <c r="K24">
        <v>256.02070135746601</v>
      </c>
      <c r="L24">
        <v>0.83682539191105032</v>
      </c>
      <c r="M24">
        <v>0.40375884675107382</v>
      </c>
      <c r="N24" t="s">
        <v>19</v>
      </c>
      <c r="O24" s="8">
        <f>(H24^2)/(Итог!$B$3^2)</f>
        <v>4.8762701925877519</v>
      </c>
    </row>
    <row r="25" spans="1:15" x14ac:dyDescent="0.3">
      <c r="A25" t="s">
        <v>26</v>
      </c>
      <c r="B25">
        <v>576</v>
      </c>
      <c r="C25">
        <v>1342.1293759512939</v>
      </c>
      <c r="D25">
        <v>1594.436507936508</v>
      </c>
      <c r="E25">
        <v>657</v>
      </c>
      <c r="F25">
        <v>630</v>
      </c>
      <c r="G25">
        <v>2415.8226638760798</v>
      </c>
      <c r="H25">
        <v>2683.7272105777479</v>
      </c>
      <c r="I25">
        <v>1287</v>
      </c>
      <c r="J25">
        <v>2.8399311531841651E-2</v>
      </c>
      <c r="K25">
        <v>252.30713198521431</v>
      </c>
      <c r="L25">
        <v>1.7740729896541769</v>
      </c>
      <c r="M25">
        <v>7.6287833758135845E-2</v>
      </c>
      <c r="N25" t="s">
        <v>19</v>
      </c>
      <c r="O25" s="8">
        <f>(H25^2)/(Итог!$B$3^2)</f>
        <v>7.2023917407954192</v>
      </c>
    </row>
    <row r="26" spans="1:15" x14ac:dyDescent="0.3">
      <c r="A26" t="s">
        <v>27</v>
      </c>
      <c r="B26">
        <v>80</v>
      </c>
      <c r="C26">
        <v>2511.9727272727268</v>
      </c>
      <c r="D26">
        <v>2517.3305687203788</v>
      </c>
      <c r="E26">
        <v>880</v>
      </c>
      <c r="F26">
        <v>844</v>
      </c>
      <c r="G26">
        <v>2824.7199322235629</v>
      </c>
      <c r="H26">
        <v>2797.1230332386049</v>
      </c>
      <c r="I26">
        <v>1724</v>
      </c>
      <c r="J26">
        <v>3.8042279006134418E-2</v>
      </c>
      <c r="K26">
        <v>5.3578414476519356</v>
      </c>
      <c r="L26">
        <v>3.9558086467205961E-2</v>
      </c>
      <c r="M26">
        <v>0.96845002895143795</v>
      </c>
      <c r="N26" t="s">
        <v>19</v>
      </c>
      <c r="O26" s="8">
        <f>(H26^2)/(Итог!$B$3^2)</f>
        <v>7.823897263073933</v>
      </c>
    </row>
    <row r="27" spans="1:15" x14ac:dyDescent="0.3">
      <c r="A27" t="s">
        <v>27</v>
      </c>
      <c r="B27">
        <v>82</v>
      </c>
      <c r="C27">
        <v>2655.6724890829701</v>
      </c>
      <c r="D27">
        <v>2586.0118343195272</v>
      </c>
      <c r="E27">
        <v>229</v>
      </c>
      <c r="F27">
        <v>169</v>
      </c>
      <c r="G27">
        <v>2929.363686396488</v>
      </c>
      <c r="H27">
        <v>2676.435562700452</v>
      </c>
      <c r="I27">
        <v>398</v>
      </c>
      <c r="J27">
        <v>8.7823822763581794E-3</v>
      </c>
      <c r="K27">
        <v>-69.660654763442835</v>
      </c>
      <c r="L27">
        <v>-0.2431728557168128</v>
      </c>
      <c r="M27">
        <v>0.80799740556960586</v>
      </c>
      <c r="N27" t="s">
        <v>19</v>
      </c>
      <c r="O27" s="8">
        <f>(H27^2)/(Итог!$B$3^2)</f>
        <v>7.163307321287685</v>
      </c>
    </row>
    <row r="28" spans="1:15" x14ac:dyDescent="0.3">
      <c r="A28" t="s">
        <v>28</v>
      </c>
      <c r="B28">
        <v>69</v>
      </c>
      <c r="C28">
        <v>600.15384615384619</v>
      </c>
      <c r="D28">
        <v>1171.4533333333329</v>
      </c>
      <c r="E28">
        <v>78</v>
      </c>
      <c r="F28">
        <v>75</v>
      </c>
      <c r="G28">
        <v>1690.139755052342</v>
      </c>
      <c r="H28">
        <v>2578.1041027632468</v>
      </c>
      <c r="I28">
        <v>153</v>
      </c>
      <c r="J28">
        <v>3.3761419303587979E-3</v>
      </c>
      <c r="K28">
        <v>571.29948717948719</v>
      </c>
      <c r="L28">
        <v>1.6270604929283119</v>
      </c>
      <c r="M28">
        <v>0.105809212549273</v>
      </c>
      <c r="N28" t="s">
        <v>19</v>
      </c>
      <c r="O28" s="8">
        <f>(H28^2)/(Итог!$B$3^2)</f>
        <v>6.6466207646846858</v>
      </c>
    </row>
    <row r="29" spans="1:15" x14ac:dyDescent="0.3">
      <c r="A29" t="s">
        <v>29</v>
      </c>
      <c r="B29">
        <v>72</v>
      </c>
      <c r="C29">
        <v>2523.3755868544599</v>
      </c>
      <c r="D29">
        <v>2371.4334975369461</v>
      </c>
      <c r="E29">
        <v>639</v>
      </c>
      <c r="F29">
        <v>609</v>
      </c>
      <c r="G29">
        <v>2795.917175533607</v>
      </c>
      <c r="H29">
        <v>2906.824457531342</v>
      </c>
      <c r="I29">
        <v>1248</v>
      </c>
      <c r="J29">
        <v>2.7538726333907061E-2</v>
      </c>
      <c r="K29">
        <v>-151.9420893175143</v>
      </c>
      <c r="L29">
        <v>-0.94123363535756777</v>
      </c>
      <c r="M29">
        <v>0.3467675852041211</v>
      </c>
      <c r="N29" t="s">
        <v>19</v>
      </c>
      <c r="O29" s="8">
        <f>(H29^2)/(Итог!$B$3^2)</f>
        <v>8.4496284269023807</v>
      </c>
    </row>
    <row r="30" spans="1:15" x14ac:dyDescent="0.3">
      <c r="A30" t="s">
        <v>29</v>
      </c>
      <c r="B30">
        <v>73</v>
      </c>
      <c r="C30">
        <v>2521.958083832335</v>
      </c>
      <c r="D30">
        <v>2092.181818181818</v>
      </c>
      <c r="E30">
        <v>167</v>
      </c>
      <c r="F30">
        <v>187</v>
      </c>
      <c r="G30">
        <v>2875.4596329355918</v>
      </c>
      <c r="H30">
        <v>2530.274648080996</v>
      </c>
      <c r="I30">
        <v>354</v>
      </c>
      <c r="J30">
        <v>7.8114656427909438E-3</v>
      </c>
      <c r="K30">
        <v>-429.77626565051742</v>
      </c>
      <c r="L30">
        <v>-1.4958446791905911</v>
      </c>
      <c r="M30">
        <v>0.13559014690618429</v>
      </c>
      <c r="N30" t="s">
        <v>19</v>
      </c>
      <c r="O30" s="8">
        <f>(H30^2)/(Итог!$B$3^2)</f>
        <v>6.4022897947214084</v>
      </c>
    </row>
    <row r="31" spans="1:15" x14ac:dyDescent="0.3">
      <c r="A31" t="s">
        <v>30</v>
      </c>
      <c r="B31">
        <v>88</v>
      </c>
      <c r="C31">
        <v>2439.4610778443121</v>
      </c>
      <c r="D31">
        <v>2902.410526315789</v>
      </c>
      <c r="E31">
        <v>167</v>
      </c>
      <c r="F31">
        <v>190</v>
      </c>
      <c r="G31">
        <v>2689.343053091382</v>
      </c>
      <c r="H31">
        <v>3074.6488868920269</v>
      </c>
      <c r="I31">
        <v>357</v>
      </c>
      <c r="J31">
        <v>7.8776645041705277E-3</v>
      </c>
      <c r="K31">
        <v>462.94944847147781</v>
      </c>
      <c r="L31">
        <v>1.5045563456740749</v>
      </c>
      <c r="M31">
        <v>0.1333273246710206</v>
      </c>
      <c r="N31" t="s">
        <v>19</v>
      </c>
      <c r="O31" s="8">
        <f>(H31^2)/(Итог!$B$3^2)</f>
        <v>9.4534657776663806</v>
      </c>
    </row>
    <row r="32" spans="1:15" x14ac:dyDescent="0.3">
      <c r="A32" t="s">
        <v>31</v>
      </c>
      <c r="B32">
        <v>19</v>
      </c>
      <c r="C32">
        <v>1743.3767123287671</v>
      </c>
      <c r="D32">
        <v>2043.823076923077</v>
      </c>
      <c r="E32">
        <v>146</v>
      </c>
      <c r="F32">
        <v>130</v>
      </c>
      <c r="G32">
        <v>2891.333359375938</v>
      </c>
      <c r="H32">
        <v>2442.2667875313759</v>
      </c>
      <c r="I32">
        <v>276</v>
      </c>
      <c r="J32">
        <v>6.0902952469217529E-3</v>
      </c>
      <c r="K32">
        <v>300.4463645943099</v>
      </c>
      <c r="L32">
        <v>0.92645906346779439</v>
      </c>
      <c r="M32">
        <v>0.35502276486047568</v>
      </c>
      <c r="N32" t="s">
        <v>19</v>
      </c>
      <c r="O32" s="8">
        <f>(H32^2)/(Итог!$B$3^2)</f>
        <v>5.9646670614788269</v>
      </c>
    </row>
    <row r="33" spans="14:15" x14ac:dyDescent="0.3">
      <c r="N33" s="11" t="s">
        <v>42</v>
      </c>
      <c r="O33" s="9">
        <f>SUM(O2:O32)</f>
        <v>266.31107752949703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05-0490-4D76-A2FB-3A8B2DCA7ECD}">
  <dimension ref="A1:B8"/>
  <sheetViews>
    <sheetView tabSelected="1" workbookViewId="0">
      <selection activeCell="D11" sqref="D11"/>
    </sheetView>
  </sheetViews>
  <sheetFormatPr defaultRowHeight="14.4" x14ac:dyDescent="0.3"/>
  <cols>
    <col min="1" max="1" width="25.88671875" customWidth="1"/>
    <col min="2" max="2" width="12.6640625" bestFit="1" customWidth="1"/>
  </cols>
  <sheetData>
    <row r="1" spans="1:2" x14ac:dyDescent="0.3">
      <c r="A1" s="2" t="s">
        <v>32</v>
      </c>
      <c r="B1" s="3"/>
    </row>
    <row r="2" spans="1:2" x14ac:dyDescent="0.3">
      <c r="A2" s="4" t="s">
        <v>33</v>
      </c>
      <c r="B2" s="3">
        <v>1000</v>
      </c>
    </row>
    <row r="3" spans="1:2" x14ac:dyDescent="0.3">
      <c r="A3" s="4" t="s">
        <v>34</v>
      </c>
      <c r="B3" s="10">
        <v>1000</v>
      </c>
    </row>
    <row r="4" spans="1:2" x14ac:dyDescent="0.3">
      <c r="A4" s="2" t="s">
        <v>35</v>
      </c>
      <c r="B4" s="3"/>
    </row>
    <row r="5" spans="1:2" x14ac:dyDescent="0.3">
      <c r="A5" s="4" t="s">
        <v>36</v>
      </c>
      <c r="B5" s="5">
        <f>positive!O19</f>
        <v>265804.56958948652</v>
      </c>
    </row>
    <row r="6" spans="1:2" x14ac:dyDescent="0.3">
      <c r="A6" s="4" t="s">
        <v>37</v>
      </c>
      <c r="B6" s="5">
        <f>negative!O5</f>
        <v>-25613.743891356229</v>
      </c>
    </row>
    <row r="7" spans="1:2" x14ac:dyDescent="0.3">
      <c r="A7" s="4" t="s">
        <v>38</v>
      </c>
      <c r="B7" s="6">
        <f>B5+B6</f>
        <v>240190.8256981303</v>
      </c>
    </row>
    <row r="8" spans="1:2" x14ac:dyDescent="0.3">
      <c r="A8" s="4" t="s">
        <v>39</v>
      </c>
      <c r="B8" s="13">
        <f>neutral!O33</f>
        <v>266.31107752949703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all_data</vt:lpstr>
      <vt:lpstr>positive</vt:lpstr>
      <vt:lpstr>negative</vt:lpstr>
      <vt:lpstr>neutral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Safina</cp:lastModifiedBy>
  <dcterms:created xsi:type="dcterms:W3CDTF">2026-04-14T13:06:20Z</dcterms:created>
  <dcterms:modified xsi:type="dcterms:W3CDTF">2026-04-14T14:05:09Z</dcterms:modified>
</cp:coreProperties>
</file>